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codeName="ThisWorkbook" autoCompressPictures="0"/>
  <xr:revisionPtr revIDLastSave="0" documentId="8_{03D9327C-0F63-448F-A8E4-4382D6C64BBE}" xr6:coauthVersionLast="47" xr6:coauthVersionMax="47" xr10:uidLastSave="{00000000-0000-0000-0000-000000000000}"/>
  <bookViews>
    <workbookView xWindow="28680" yWindow="-120" windowWidth="29040" windowHeight="15720" tabRatio="788" xr2:uid="{00000000-000D-0000-FFFF-FFFF00000000}"/>
  </bookViews>
  <sheets>
    <sheet name="1월" sheetId="14" r:id="rId1"/>
    <sheet name="2월" sheetId="15" r:id="rId2"/>
    <sheet name="3월" sheetId="16" r:id="rId3"/>
    <sheet name="4월" sheetId="17" r:id="rId4"/>
    <sheet name="5월" sheetId="18" r:id="rId5"/>
    <sheet name="6월" sheetId="19" r:id="rId6"/>
    <sheet name="7월" sheetId="20" r:id="rId7"/>
    <sheet name="8월" sheetId="21" r:id="rId8"/>
    <sheet name="9월" sheetId="22" r:id="rId9"/>
    <sheet name="10월" sheetId="23" r:id="rId10"/>
    <sheet name="11월" sheetId="24" r:id="rId11"/>
    <sheet name="12월" sheetId="25" r:id="rId12"/>
  </sheets>
  <definedNames>
    <definedName name="_xlnm.Print_Area" localSheetId="0">'1월'!$A$1:$H$14</definedName>
    <definedName name="달력연도">'1월'!$K$3</definedName>
    <definedName name="열제목영역1..H12.1">'1월'!$B$2</definedName>
    <definedName name="열제목영역1..H12.10">'10월'!$B$2</definedName>
    <definedName name="열제목영역1..H12.11">'11월'!$B$2</definedName>
    <definedName name="열제목영역1..H12.12">'12월'!$B$2</definedName>
    <definedName name="열제목영역1..H12.2">'2월'!$B$2</definedName>
    <definedName name="열제목영역1..H12.3">'3월'!$B$2</definedName>
    <definedName name="열제목영역1..H12.4">'4월'!$B$2</definedName>
    <definedName name="열제목영역1..H12.5">'5월'!$B$2</definedName>
    <definedName name="열제목영역1..H12.6">'6월'!$B$2</definedName>
    <definedName name="열제목영역1..H12.7">'7월'!$B$2</definedName>
    <definedName name="열제목영역1..H12.8">'8월'!$B$2</definedName>
    <definedName name="열제목영역1..H12.9">'9월'!$B$2</definedName>
    <definedName name="열제목영역2..C14.1">'1월'!$B$2</definedName>
    <definedName name="열제목영역2..C14.10">'10월'!$B$2</definedName>
    <definedName name="열제목영역2..C14.11">'11월'!$B$2</definedName>
    <definedName name="열제목영역2..C14.12">'12월'!$B$2</definedName>
    <definedName name="열제목영역2..C14.2">'2월'!$B$2</definedName>
    <definedName name="열제목영역2..C14.3">'3월'!$B$2</definedName>
    <definedName name="열제목영역2..C14.4">'4월'!$B$2</definedName>
    <definedName name="열제목영역2..C14.5">'5월'!$B$2</definedName>
    <definedName name="열제목영역2..C14.6">'6월'!$B$2</definedName>
    <definedName name="열제목영역2..C14.7">'7월'!$B$2</definedName>
    <definedName name="열제목영역2..C14.8">'8월'!$B$2</definedName>
    <definedName name="열제목영역2..C14.9">'9월'!$B$2</definedName>
    <definedName name="요일및주">{0,1,2,3,4,5,6} + {0;1;2;3;4;5}*7</definedName>
    <definedName name="주시작">'1월'!$K$4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" i="15" l="1" a="1"/>
  <c r="C13" i="15" s="1"/>
  <c r="B11" i="15" a="1"/>
  <c r="G11" i="15" s="1"/>
  <c r="B9" i="15" a="1"/>
  <c r="G9" i="15" s="1"/>
  <c r="F7" i="15"/>
  <c r="B7" i="15" a="1"/>
  <c r="G7" i="15" s="1"/>
  <c r="F5" i="15"/>
  <c r="B5" i="15" a="1"/>
  <c r="G5" i="15" s="1"/>
  <c r="F3" i="15"/>
  <c r="B3" i="15"/>
  <c r="B3" i="15" a="1"/>
  <c r="G3" i="15" s="1"/>
  <c r="B2" i="15"/>
  <c r="B13" i="16" a="1"/>
  <c r="C13" i="16" s="1"/>
  <c r="H11" i="16"/>
  <c r="B11" i="16"/>
  <c r="B11" i="16" a="1"/>
  <c r="G11" i="16" s="1"/>
  <c r="B9" i="16" a="1"/>
  <c r="G9" i="16" s="1"/>
  <c r="F7" i="16"/>
  <c r="B7" i="16" a="1"/>
  <c r="G7" i="16" s="1"/>
  <c r="B5" i="16" a="1"/>
  <c r="G5" i="16" s="1"/>
  <c r="B3" i="16" a="1"/>
  <c r="G3" i="16" s="1"/>
  <c r="B2" i="16"/>
  <c r="B13" i="17"/>
  <c r="B13" i="17" a="1"/>
  <c r="C13" i="17" s="1"/>
  <c r="B11" i="17"/>
  <c r="B11" i="17" a="1"/>
  <c r="G11" i="17" s="1"/>
  <c r="B9" i="17" a="1"/>
  <c r="G9" i="17" s="1"/>
  <c r="H7" i="17"/>
  <c r="F7" i="17"/>
  <c r="D7" i="17"/>
  <c r="B7" i="17"/>
  <c r="B7" i="17" a="1"/>
  <c r="G7" i="17" s="1"/>
  <c r="H5" i="17"/>
  <c r="B5" i="17" a="1"/>
  <c r="G5" i="17" s="1"/>
  <c r="H3" i="17"/>
  <c r="F3" i="17"/>
  <c r="D3" i="17"/>
  <c r="B3" i="17"/>
  <c r="B3" i="17" a="1"/>
  <c r="G3" i="17" s="1"/>
  <c r="B2" i="17"/>
  <c r="B13" i="18" a="1"/>
  <c r="C13" i="18" s="1"/>
  <c r="B11" i="18" a="1"/>
  <c r="G11" i="18" s="1"/>
  <c r="B9" i="18" a="1"/>
  <c r="G9" i="18" s="1"/>
  <c r="F7" i="18"/>
  <c r="D7" i="18"/>
  <c r="B7" i="18"/>
  <c r="B7" i="18" a="1"/>
  <c r="G7" i="18" s="1"/>
  <c r="H5" i="18"/>
  <c r="F5" i="18"/>
  <c r="D5" i="18"/>
  <c r="B5" i="18" a="1"/>
  <c r="G5" i="18" s="1"/>
  <c r="F3" i="18"/>
  <c r="B3" i="18"/>
  <c r="B3" i="18" a="1"/>
  <c r="G3" i="18" s="1"/>
  <c r="B2" i="18"/>
  <c r="B13" i="19" a="1"/>
  <c r="C13" i="19" s="1"/>
  <c r="H11" i="19"/>
  <c r="F11" i="19"/>
  <c r="D11" i="19"/>
  <c r="B11" i="19"/>
  <c r="B11" i="19" a="1"/>
  <c r="G11" i="19" s="1"/>
  <c r="D9" i="19"/>
  <c r="B9" i="19" a="1"/>
  <c r="G9" i="19" s="1"/>
  <c r="F7" i="19"/>
  <c r="D7" i="19"/>
  <c r="B7" i="19"/>
  <c r="B7" i="19" a="1"/>
  <c r="G7" i="19" s="1"/>
  <c r="B5" i="19" a="1"/>
  <c r="G5" i="19" s="1"/>
  <c r="B3" i="19" a="1"/>
  <c r="G3" i="19" s="1"/>
  <c r="B2" i="19"/>
  <c r="B13" i="20"/>
  <c r="B13" i="20" a="1"/>
  <c r="C13" i="20" s="1"/>
  <c r="B11" i="20"/>
  <c r="B11" i="20" a="1"/>
  <c r="G11" i="20" s="1"/>
  <c r="B9" i="20" a="1"/>
  <c r="G9" i="20" s="1"/>
  <c r="B7" i="20" a="1"/>
  <c r="H7" i="20" s="1"/>
  <c r="B5" i="20" a="1"/>
  <c r="H5" i="20" s="1"/>
  <c r="B3" i="20" a="1"/>
  <c r="H3" i="20" s="1"/>
  <c r="B2" i="20"/>
  <c r="B13" i="21" a="1"/>
  <c r="B13" i="21" s="1"/>
  <c r="B11" i="21" a="1"/>
  <c r="H11" i="21" s="1"/>
  <c r="B9" i="21" a="1"/>
  <c r="H9" i="21" s="1"/>
  <c r="B7" i="21" a="1"/>
  <c r="H7" i="21" s="1"/>
  <c r="B5" i="21" a="1"/>
  <c r="H5" i="21" s="1"/>
  <c r="B3" i="21" a="1"/>
  <c r="H3" i="21" s="1"/>
  <c r="B2" i="21"/>
  <c r="B13" i="22" a="1"/>
  <c r="B13" i="22" s="1"/>
  <c r="B11" i="22" a="1"/>
  <c r="H11" i="22" s="1"/>
  <c r="B9" i="22" a="1"/>
  <c r="H9" i="22" s="1"/>
  <c r="B7" i="22" a="1"/>
  <c r="H7" i="22" s="1"/>
  <c r="B5" i="22" a="1"/>
  <c r="H5" i="22" s="1"/>
  <c r="B3" i="22" a="1"/>
  <c r="H3" i="22" s="1"/>
  <c r="B2" i="22"/>
  <c r="B13" i="23" a="1"/>
  <c r="B13" i="23" s="1"/>
  <c r="B11" i="23" a="1"/>
  <c r="H11" i="23" s="1"/>
  <c r="B9" i="23" a="1"/>
  <c r="H9" i="23" s="1"/>
  <c r="B7" i="23" a="1"/>
  <c r="H7" i="23" s="1"/>
  <c r="B5" i="23" a="1"/>
  <c r="H5" i="23" s="1"/>
  <c r="B3" i="23" a="1"/>
  <c r="H3" i="23" s="1"/>
  <c r="B2" i="23"/>
  <c r="B13" i="24" a="1"/>
  <c r="B11" i="24" a="1"/>
  <c r="B9" i="24" a="1"/>
  <c r="B7" i="24" a="1"/>
  <c r="B5" i="24" a="1"/>
  <c r="B3" i="24" a="1"/>
  <c r="B2" i="24"/>
  <c r="B13" i="25" a="1"/>
  <c r="B13" i="25" s="1"/>
  <c r="G11" i="25"/>
  <c r="C11" i="25"/>
  <c r="B11" i="25" a="1"/>
  <c r="C9" i="25"/>
  <c r="B9" i="25" a="1"/>
  <c r="G9" i="25" s="1"/>
  <c r="G7" i="25"/>
  <c r="B7" i="25" a="1"/>
  <c r="C7" i="25" s="1"/>
  <c r="B5" i="25" a="1"/>
  <c r="C5" i="25" s="1"/>
  <c r="G3" i="25"/>
  <c r="C3" i="25"/>
  <c r="B3" i="25" a="1"/>
  <c r="B2" i="25"/>
  <c r="B13" i="14" a="1"/>
  <c r="B13" i="14" s="1"/>
  <c r="B11" i="14" a="1"/>
  <c r="B9" i="14" a="1"/>
  <c r="B7" i="14" a="1"/>
  <c r="B5" i="14" a="1"/>
  <c r="B3" i="14" a="1"/>
  <c r="B1" i="25"/>
  <c r="B1" i="24"/>
  <c r="B1" i="23"/>
  <c r="B1" i="22"/>
  <c r="B1" i="21"/>
  <c r="B1" i="20"/>
  <c r="B1" i="19"/>
  <c r="B1" i="18"/>
  <c r="B1" i="17"/>
  <c r="B1" i="16"/>
  <c r="B1" i="15"/>
  <c r="B1" i="14"/>
  <c r="G5" i="25" l="1"/>
  <c r="F11" i="20"/>
  <c r="D5" i="19"/>
  <c r="H9" i="19"/>
  <c r="F11" i="17"/>
  <c r="D5" i="16"/>
  <c r="H9" i="16"/>
  <c r="H11" i="20"/>
  <c r="F5" i="19"/>
  <c r="H3" i="18"/>
  <c r="B9" i="18"/>
  <c r="H11" i="17"/>
  <c r="F5" i="16"/>
  <c r="H3" i="15"/>
  <c r="B9" i="15"/>
  <c r="H5" i="19"/>
  <c r="D9" i="18"/>
  <c r="H5" i="16"/>
  <c r="D9" i="15"/>
  <c r="B5" i="18"/>
  <c r="F9" i="18"/>
  <c r="D11" i="16"/>
  <c r="B5" i="15"/>
  <c r="F9" i="15"/>
  <c r="H9" i="18"/>
  <c r="B7" i="16"/>
  <c r="F11" i="16"/>
  <c r="D5" i="15"/>
  <c r="H9" i="15"/>
  <c r="B9" i="17"/>
  <c r="D7" i="16"/>
  <c r="B3" i="19"/>
  <c r="B11" i="18"/>
  <c r="D9" i="17"/>
  <c r="B3" i="16"/>
  <c r="H5" i="15"/>
  <c r="B11" i="15"/>
  <c r="D3" i="19"/>
  <c r="H7" i="19"/>
  <c r="B13" i="19"/>
  <c r="D11" i="18"/>
  <c r="B5" i="17"/>
  <c r="F9" i="17"/>
  <c r="D3" i="16"/>
  <c r="H7" i="16"/>
  <c r="B13" i="16"/>
  <c r="D11" i="15"/>
  <c r="F3" i="19"/>
  <c r="F11" i="18"/>
  <c r="D5" i="17"/>
  <c r="H9" i="17"/>
  <c r="F3" i="16"/>
  <c r="B7" i="15"/>
  <c r="F11" i="15"/>
  <c r="H3" i="19"/>
  <c r="B9" i="19"/>
  <c r="H11" i="18"/>
  <c r="F5" i="17"/>
  <c r="H3" i="16"/>
  <c r="H2" i="16" s="1"/>
  <c r="B9" i="16"/>
  <c r="D7" i="15"/>
  <c r="H11" i="15"/>
  <c r="D9" i="16"/>
  <c r="C13" i="25"/>
  <c r="D11" i="20"/>
  <c r="B5" i="19"/>
  <c r="F9" i="19"/>
  <c r="D3" i="18"/>
  <c r="H7" i="18"/>
  <c r="B13" i="18"/>
  <c r="D11" i="17"/>
  <c r="B5" i="16"/>
  <c r="F9" i="16"/>
  <c r="D3" i="15"/>
  <c r="H7" i="15"/>
  <c r="B13" i="15"/>
  <c r="H5" i="14"/>
  <c r="F5" i="14"/>
  <c r="D5" i="14"/>
  <c r="B5" i="14"/>
  <c r="E5" i="14"/>
  <c r="H9" i="14"/>
  <c r="F9" i="14"/>
  <c r="D9" i="14"/>
  <c r="B9" i="14"/>
  <c r="E9" i="14"/>
  <c r="H3" i="24"/>
  <c r="F3" i="24"/>
  <c r="D3" i="24"/>
  <c r="B3" i="24"/>
  <c r="E3" i="24"/>
  <c r="H5" i="24"/>
  <c r="F5" i="24"/>
  <c r="D5" i="24"/>
  <c r="B5" i="24"/>
  <c r="E5" i="24"/>
  <c r="H7" i="24"/>
  <c r="F7" i="24"/>
  <c r="D7" i="24"/>
  <c r="B7" i="24"/>
  <c r="E7" i="24"/>
  <c r="H9" i="24"/>
  <c r="F9" i="24"/>
  <c r="D9" i="24"/>
  <c r="B9" i="24"/>
  <c r="E9" i="24"/>
  <c r="H11" i="24"/>
  <c r="F11" i="24"/>
  <c r="D11" i="24"/>
  <c r="B11" i="24"/>
  <c r="E11" i="24"/>
  <c r="B13" i="24"/>
  <c r="C13" i="24"/>
  <c r="H3" i="14"/>
  <c r="F3" i="14"/>
  <c r="D3" i="14"/>
  <c r="B3" i="14"/>
  <c r="E3" i="14"/>
  <c r="H7" i="14"/>
  <c r="F7" i="14"/>
  <c r="D7" i="14"/>
  <c r="B7" i="14"/>
  <c r="E7" i="14"/>
  <c r="H11" i="14"/>
  <c r="F11" i="14"/>
  <c r="D11" i="14"/>
  <c r="B11" i="14"/>
  <c r="E11" i="14"/>
  <c r="C3" i="14"/>
  <c r="G3" i="14"/>
  <c r="C5" i="14"/>
  <c r="G5" i="14"/>
  <c r="C7" i="14"/>
  <c r="G7" i="14"/>
  <c r="C9" i="14"/>
  <c r="G9" i="14"/>
  <c r="C11" i="14"/>
  <c r="G11" i="14"/>
  <c r="C13" i="14"/>
  <c r="H3" i="25"/>
  <c r="F3" i="25"/>
  <c r="D3" i="25"/>
  <c r="B3" i="25"/>
  <c r="E3" i="25"/>
  <c r="H5" i="25"/>
  <c r="F5" i="25"/>
  <c r="D5" i="25"/>
  <c r="B5" i="25"/>
  <c r="E5" i="25"/>
  <c r="H7" i="25"/>
  <c r="F7" i="25"/>
  <c r="D7" i="25"/>
  <c r="B7" i="25"/>
  <c r="E7" i="25"/>
  <c r="H9" i="25"/>
  <c r="F9" i="25"/>
  <c r="D9" i="25"/>
  <c r="B9" i="25"/>
  <c r="E9" i="25"/>
  <c r="H11" i="25"/>
  <c r="F11" i="25"/>
  <c r="D11" i="25"/>
  <c r="B11" i="25"/>
  <c r="E11" i="25"/>
  <c r="C3" i="24"/>
  <c r="G3" i="24"/>
  <c r="C5" i="24"/>
  <c r="G5" i="24"/>
  <c r="C7" i="24"/>
  <c r="G7" i="24"/>
  <c r="C9" i="24"/>
  <c r="G9" i="24"/>
  <c r="C11" i="24"/>
  <c r="G11" i="24"/>
  <c r="C3" i="23"/>
  <c r="E3" i="23"/>
  <c r="G3" i="23"/>
  <c r="C7" i="23"/>
  <c r="E7" i="23"/>
  <c r="G7" i="23"/>
  <c r="C11" i="23"/>
  <c r="E11" i="23"/>
  <c r="G11" i="23"/>
  <c r="C5" i="22"/>
  <c r="E5" i="22"/>
  <c r="G5" i="22"/>
  <c r="C9" i="22"/>
  <c r="E9" i="22"/>
  <c r="G9" i="22"/>
  <c r="C13" i="22"/>
  <c r="C5" i="21"/>
  <c r="E5" i="21"/>
  <c r="G5" i="21"/>
  <c r="C9" i="21"/>
  <c r="E9" i="21"/>
  <c r="G9" i="21"/>
  <c r="C13" i="21"/>
  <c r="C3" i="20"/>
  <c r="E3" i="20"/>
  <c r="G3" i="20"/>
  <c r="C7" i="20"/>
  <c r="E7" i="20"/>
  <c r="G7" i="20"/>
  <c r="C9" i="20"/>
  <c r="E9" i="20"/>
  <c r="H9" i="20"/>
  <c r="C5" i="23"/>
  <c r="E5" i="23"/>
  <c r="G5" i="23"/>
  <c r="C9" i="23"/>
  <c r="E9" i="23"/>
  <c r="G9" i="23"/>
  <c r="C13" i="23"/>
  <c r="C3" i="22"/>
  <c r="E3" i="22"/>
  <c r="G3" i="22"/>
  <c r="C7" i="22"/>
  <c r="E7" i="22"/>
  <c r="G7" i="22"/>
  <c r="C11" i="22"/>
  <c r="E11" i="22"/>
  <c r="G11" i="22"/>
  <c r="C3" i="21"/>
  <c r="E3" i="21"/>
  <c r="G3" i="21"/>
  <c r="G2" i="21" s="1"/>
  <c r="C7" i="21"/>
  <c r="E7" i="21"/>
  <c r="G7" i="21"/>
  <c r="C11" i="21"/>
  <c r="E11" i="21"/>
  <c r="G11" i="21"/>
  <c r="C5" i="20"/>
  <c r="E5" i="20"/>
  <c r="G5" i="20"/>
  <c r="B3" i="23"/>
  <c r="D3" i="23"/>
  <c r="F3" i="23"/>
  <c r="B5" i="23"/>
  <c r="D5" i="23"/>
  <c r="F5" i="23"/>
  <c r="B7" i="23"/>
  <c r="D7" i="23"/>
  <c r="F7" i="23"/>
  <c r="B9" i="23"/>
  <c r="D9" i="23"/>
  <c r="F9" i="23"/>
  <c r="B11" i="23"/>
  <c r="D11" i="23"/>
  <c r="F11" i="23"/>
  <c r="B3" i="22"/>
  <c r="D3" i="22"/>
  <c r="F3" i="22"/>
  <c r="B5" i="22"/>
  <c r="D5" i="22"/>
  <c r="F5" i="22"/>
  <c r="B7" i="22"/>
  <c r="D7" i="22"/>
  <c r="F7" i="22"/>
  <c r="B9" i="22"/>
  <c r="D9" i="22"/>
  <c r="F9" i="22"/>
  <c r="B11" i="22"/>
  <c r="D11" i="22"/>
  <c r="F11" i="22"/>
  <c r="B3" i="21"/>
  <c r="D3" i="21"/>
  <c r="F3" i="21"/>
  <c r="B5" i="21"/>
  <c r="D5" i="21"/>
  <c r="F5" i="21"/>
  <c r="B7" i="21"/>
  <c r="D7" i="21"/>
  <c r="F7" i="21"/>
  <c r="B9" i="21"/>
  <c r="D9" i="21"/>
  <c r="F9" i="21"/>
  <c r="B11" i="21"/>
  <c r="D11" i="21"/>
  <c r="F11" i="21"/>
  <c r="B3" i="20"/>
  <c r="D3" i="20"/>
  <c r="F3" i="20"/>
  <c r="B5" i="20"/>
  <c r="D5" i="20"/>
  <c r="F5" i="20"/>
  <c r="B7" i="20"/>
  <c r="D7" i="20"/>
  <c r="F7" i="20"/>
  <c r="B9" i="20"/>
  <c r="D9" i="20"/>
  <c r="F9" i="20"/>
  <c r="C11" i="20"/>
  <c r="E11" i="20"/>
  <c r="C3" i="19"/>
  <c r="E3" i="19"/>
  <c r="C5" i="19"/>
  <c r="E5" i="19"/>
  <c r="C7" i="19"/>
  <c r="E7" i="19"/>
  <c r="C9" i="19"/>
  <c r="E9" i="19"/>
  <c r="C11" i="19"/>
  <c r="E11" i="19"/>
  <c r="C3" i="18"/>
  <c r="E3" i="18"/>
  <c r="C5" i="18"/>
  <c r="E5" i="18"/>
  <c r="C7" i="18"/>
  <c r="E7" i="18"/>
  <c r="C9" i="18"/>
  <c r="E9" i="18"/>
  <c r="C11" i="18"/>
  <c r="E11" i="18"/>
  <c r="C3" i="17"/>
  <c r="E3" i="17"/>
  <c r="C5" i="17"/>
  <c r="E5" i="17"/>
  <c r="C7" i="17"/>
  <c r="E7" i="17"/>
  <c r="C9" i="17"/>
  <c r="E9" i="17"/>
  <c r="C11" i="17"/>
  <c r="E11" i="17"/>
  <c r="C3" i="16"/>
  <c r="E3" i="16"/>
  <c r="C5" i="16"/>
  <c r="E5" i="16"/>
  <c r="C7" i="16"/>
  <c r="E7" i="16"/>
  <c r="C9" i="16"/>
  <c r="E9" i="16"/>
  <c r="C11" i="16"/>
  <c r="E11" i="16"/>
  <c r="C3" i="15"/>
  <c r="E3" i="15"/>
  <c r="C5" i="15"/>
  <c r="E5" i="15"/>
  <c r="C7" i="15"/>
  <c r="E7" i="15"/>
  <c r="C9" i="15"/>
  <c r="E9" i="15"/>
  <c r="C11" i="15"/>
  <c r="E11" i="15"/>
  <c r="G2" i="25"/>
  <c r="G2" i="24"/>
  <c r="G2" i="23"/>
  <c r="H2" i="22"/>
  <c r="E2" i="20"/>
  <c r="H2" i="19"/>
  <c r="G2" i="18"/>
  <c r="H2" i="17"/>
  <c r="H2" i="15"/>
  <c r="F2" i="18" l="1"/>
  <c r="D2" i="18"/>
  <c r="H2" i="18"/>
  <c r="D2" i="25"/>
  <c r="F2" i="25"/>
  <c r="H2" i="25"/>
  <c r="C2" i="25"/>
  <c r="E2" i="25"/>
  <c r="D2" i="24"/>
  <c r="F2" i="24"/>
  <c r="H2" i="24"/>
  <c r="C2" i="24"/>
  <c r="E2" i="24"/>
  <c r="D2" i="23"/>
  <c r="F2" i="23"/>
  <c r="H2" i="23"/>
  <c r="C2" i="23"/>
  <c r="E2" i="23"/>
  <c r="C2" i="22"/>
  <c r="E2" i="22"/>
  <c r="G2" i="22"/>
  <c r="D2" i="22"/>
  <c r="F2" i="22"/>
  <c r="D2" i="21"/>
  <c r="F2" i="21"/>
  <c r="H2" i="21"/>
  <c r="C2" i="21"/>
  <c r="E2" i="21"/>
  <c r="C2" i="20"/>
  <c r="G2" i="20"/>
  <c r="D2" i="20"/>
  <c r="F2" i="20"/>
  <c r="H2" i="20"/>
  <c r="C2" i="19"/>
  <c r="E2" i="19"/>
  <c r="G2" i="19"/>
  <c r="D2" i="19"/>
  <c r="F2" i="19"/>
  <c r="C2" i="18"/>
  <c r="E2" i="18"/>
  <c r="C2" i="17"/>
  <c r="E2" i="17"/>
  <c r="G2" i="17"/>
  <c r="D2" i="17"/>
  <c r="F2" i="17"/>
  <c r="C2" i="16"/>
  <c r="E2" i="16"/>
  <c r="G2" i="16"/>
  <c r="D2" i="16"/>
  <c r="F2" i="16"/>
  <c r="C2" i="15"/>
  <c r="E2" i="15"/>
  <c r="G2" i="15"/>
  <c r="D2" i="15"/>
  <c r="F2" i="15"/>
  <c r="B2" i="14"/>
  <c r="G2" i="14" l="1"/>
  <c r="E2" i="14"/>
  <c r="C2" i="14"/>
  <c r="H2" i="14"/>
  <c r="F2" i="14"/>
  <c r="D2" i="14"/>
</calcChain>
</file>

<file path=xl/sharedStrings.xml><?xml version="1.0" encoding="utf-8"?>
<sst xmlns="http://schemas.openxmlformats.org/spreadsheetml/2006/main" count="16" uniqueCount="5">
  <si>
    <t>메모</t>
  </si>
  <si>
    <t>달력 설정</t>
  </si>
  <si>
    <t>연도</t>
  </si>
  <si>
    <t>주 시작</t>
  </si>
  <si>
    <t>일요일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</si>
</sst>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</numFmts>
  <fonts count="30">
    <font>
      <sz val="11"/>
      <color theme="1" tint="0.24994659260841701"/>
      <name val="Malgun Gothic"/>
      <family val="2"/>
    </font>
    <font>
      <sz val="8"/>
      <name val="Arial"/>
      <family val="2"/>
    </font>
    <font>
      <sz val="11"/>
      <color theme="1"/>
      <name val="Malgun Gothic"/>
      <family val="2"/>
    </font>
    <font>
      <sz val="11"/>
      <color indexed="63"/>
      <name val="Malgun Gothic"/>
      <family val="2"/>
    </font>
    <font>
      <b/>
      <sz val="11"/>
      <color theme="0"/>
      <name val="Malgun Gothic"/>
      <family val="2"/>
    </font>
    <font>
      <sz val="11"/>
      <color theme="0"/>
      <name val="Malgun Gothic"/>
      <family val="2"/>
    </font>
    <font>
      <b/>
      <sz val="14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sz val="11"/>
      <color theme="1" tint="0.34998626667073579"/>
      <name val="Malgun Gothic"/>
      <family val="2"/>
    </font>
    <font>
      <i/>
      <sz val="11"/>
      <color rgb="FF7F7F7F"/>
      <name val="Malgun Gothic"/>
      <family val="2"/>
    </font>
    <font>
      <sz val="11"/>
      <color rgb="FF006100"/>
      <name val="Malgun Gothic"/>
      <family val="2"/>
    </font>
    <font>
      <sz val="11"/>
      <color theme="4" tint="-0.24994659260841701"/>
      <name val="Malgun Gothic"/>
      <family val="2"/>
    </font>
    <font>
      <sz val="11"/>
      <color theme="1" tint="0.24994659260841701"/>
      <name val="Malgun Gothic"/>
      <family val="2"/>
    </font>
    <font>
      <b/>
      <sz val="11"/>
      <color theme="1" tint="0.34998626667073579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sz val="35"/>
      <color theme="4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35"/>
      <color theme="1"/>
      <name val="Malgun Gothic"/>
      <family val="2"/>
    </font>
    <font>
      <sz val="10"/>
      <name val="Malgun Gothic"/>
      <family val="2"/>
    </font>
    <font>
      <b/>
      <sz val="11"/>
      <color theme="1" tint="0.24994659260841701"/>
      <name val="Malgun Gothic"/>
      <family val="2"/>
    </font>
    <font>
      <i/>
      <sz val="11"/>
      <color theme="1" tint="0.34998626667073579"/>
      <name val="Malgun Gothic"/>
      <family val="2"/>
    </font>
    <font>
      <sz val="35"/>
      <color theme="0"/>
      <name val="Malgun Gothic"/>
      <family val="2"/>
    </font>
    <font>
      <sz val="8"/>
      <name val="돋움"/>
      <family val="3"/>
      <charset val="129"/>
    </font>
    <font>
      <sz val="10"/>
      <name val="Malgun Gothic"/>
      <family val="3"/>
      <charset val="129"/>
    </font>
    <font>
      <sz val="11"/>
      <color theme="1" tint="0.24994659260841701"/>
      <name val="Malgun Gothic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top"/>
    </xf>
    <xf numFmtId="0" fontId="3" fillId="3" borderId="0" applyNumberFormat="0" applyBorder="0" applyAlignment="0" applyProtection="0"/>
    <xf numFmtId="0" fontId="12" fillId="0" borderId="3" applyNumberFormat="0" applyFill="0" applyProtection="0">
      <alignment horizontal="left" vertical="center" indent="1"/>
    </xf>
    <xf numFmtId="0" fontId="4" fillId="4" borderId="1" applyNumberFormat="0" applyAlignment="0" applyProtection="0"/>
    <xf numFmtId="0" fontId="6" fillId="5" borderId="2" applyNumberFormat="0" applyProtection="0">
      <alignment vertical="center"/>
    </xf>
    <xf numFmtId="0" fontId="19" fillId="0" borderId="0" applyFill="0" applyBorder="0" applyProtection="0">
      <alignment vertical="center"/>
    </xf>
    <xf numFmtId="177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6" borderId="0" applyBorder="0" applyProtection="0">
      <alignment horizontal="left" vertical="top" wrapText="1" indent="1"/>
    </xf>
    <xf numFmtId="0" fontId="12" fillId="0" borderId="0" applyFill="0" applyProtection="0"/>
    <xf numFmtId="0" fontId="13" fillId="0" borderId="0" applyFill="0" applyProtection="0"/>
    <xf numFmtId="0" fontId="22" fillId="2" borderId="0">
      <alignment vertical="center"/>
    </xf>
    <xf numFmtId="0" fontId="2" fillId="0" borderId="4">
      <alignment horizontal="left" vertical="center" indent="1"/>
    </xf>
    <xf numFmtId="178" fontId="14" fillId="7" borderId="0">
      <alignment horizontal="left" wrapText="1" indent="1"/>
    </xf>
    <xf numFmtId="178" fontId="14" fillId="0" borderId="0">
      <alignment horizontal="left" indent="1"/>
    </xf>
    <xf numFmtId="0" fontId="9" fillId="0" borderId="0" applyAlignment="0">
      <alignment horizontal="left"/>
    </xf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7" fillId="23" borderId="0" applyNumberFormat="0" applyBorder="0" applyAlignment="0" applyProtection="0"/>
    <xf numFmtId="0" fontId="15" fillId="24" borderId="11" applyNumberFormat="0" applyAlignment="0" applyProtection="0"/>
    <xf numFmtId="0" fontId="18" fillId="25" borderId="12" applyNumberFormat="0" applyAlignment="0" applyProtection="0"/>
    <xf numFmtId="0" fontId="8" fillId="25" borderId="11" applyNumberFormat="0" applyAlignment="0" applyProtection="0"/>
    <xf numFmtId="0" fontId="16" fillId="0" borderId="13" applyNumberFormat="0" applyFill="0" applyAlignment="0" applyProtection="0"/>
    <xf numFmtId="0" fontId="4" fillId="26" borderId="14" applyNumberFormat="0" applyAlignment="0" applyProtection="0"/>
    <xf numFmtId="0" fontId="21" fillId="0" borderId="0" applyNumberFormat="0" applyFill="0" applyBorder="0" applyAlignment="0" applyProtection="0"/>
    <xf numFmtId="0" fontId="13" fillId="27" borderId="15" applyNumberFormat="0" applyFont="0" applyAlignment="0" applyProtection="0"/>
    <xf numFmtId="0" fontId="10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5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5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5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</cellStyleXfs>
  <cellXfs count="71">
    <xf numFmtId="0" fontId="0" fillId="0" borderId="0" xfId="0">
      <alignment vertical="top"/>
    </xf>
    <xf numFmtId="0" fontId="0" fillId="2" borderId="0" xfId="0" applyFill="1">
      <alignment vertical="top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right"/>
    </xf>
    <xf numFmtId="0" fontId="2" fillId="0" borderId="4" xfId="15">
      <alignment horizontal="left" vertical="center" indent="1"/>
    </xf>
    <xf numFmtId="0" fontId="14" fillId="8" borderId="8" xfId="11" applyFill="1" applyBorder="1" applyAlignment="1">
      <alignment vertical="top" wrapText="1"/>
    </xf>
    <xf numFmtId="0" fontId="9" fillId="0" borderId="0" xfId="18" applyAlignment="1">
      <alignment horizontal="left"/>
    </xf>
    <xf numFmtId="0" fontId="9" fillId="0" borderId="0" xfId="18" applyAlignment="1">
      <alignment horizontal="left" vertical="top"/>
    </xf>
    <xf numFmtId="0" fontId="19" fillId="9" borderId="0" xfId="5" applyFill="1" applyBorder="1" applyAlignment="1">
      <alignment horizontal="left" vertical="center"/>
    </xf>
    <xf numFmtId="0" fontId="12" fillId="9" borderId="0" xfId="2" applyFill="1" applyBorder="1" applyAlignment="1">
      <alignment vertical="center"/>
    </xf>
    <xf numFmtId="0" fontId="19" fillId="11" borderId="0" xfId="5" applyFill="1" applyBorder="1" applyAlignment="1">
      <alignment horizontal="left" vertical="center"/>
    </xf>
    <xf numFmtId="0" fontId="12" fillId="11" borderId="0" xfId="2" applyFill="1" applyBorder="1" applyAlignment="1">
      <alignment vertical="center"/>
    </xf>
    <xf numFmtId="0" fontId="19" fillId="11" borderId="0" xfId="5" applyFill="1" applyAlignment="1">
      <alignment horizontal="left" vertical="center"/>
    </xf>
    <xf numFmtId="0" fontId="22" fillId="12" borderId="0" xfId="14" applyFill="1">
      <alignment vertical="center"/>
    </xf>
    <xf numFmtId="0" fontId="19" fillId="12" borderId="0" xfId="5" applyFill="1" applyBorder="1" applyAlignment="1">
      <alignment horizontal="left" vertical="center"/>
    </xf>
    <xf numFmtId="0" fontId="12" fillId="12" borderId="0" xfId="2" applyFill="1" applyBorder="1" applyAlignment="1">
      <alignment vertical="center"/>
    </xf>
    <xf numFmtId="0" fontId="19" fillId="12" borderId="0" xfId="5" applyFill="1" applyBorder="1" applyAlignment="1">
      <alignment horizontal="right" vertical="center"/>
    </xf>
    <xf numFmtId="0" fontId="22" fillId="13" borderId="0" xfId="14" applyFill="1">
      <alignment vertical="center"/>
    </xf>
    <xf numFmtId="0" fontId="19" fillId="13" borderId="0" xfId="5" applyFill="1" applyBorder="1" applyAlignment="1">
      <alignment horizontal="left" vertical="center"/>
    </xf>
    <xf numFmtId="0" fontId="12" fillId="13" borderId="0" xfId="2" applyFill="1" applyBorder="1" applyAlignment="1">
      <alignment vertical="center"/>
    </xf>
    <xf numFmtId="0" fontId="19" fillId="13" borderId="0" xfId="5" applyFill="1" applyBorder="1" applyAlignment="1">
      <alignment horizontal="right" vertical="center"/>
    </xf>
    <xf numFmtId="0" fontId="22" fillId="9" borderId="0" xfId="14" applyFill="1">
      <alignment vertical="center"/>
    </xf>
    <xf numFmtId="0" fontId="19" fillId="9" borderId="0" xfId="5" applyFill="1" applyBorder="1" applyAlignment="1">
      <alignment horizontal="right" vertical="center"/>
    </xf>
    <xf numFmtId="0" fontId="22" fillId="14" borderId="0" xfId="14" applyFill="1">
      <alignment vertical="center"/>
    </xf>
    <xf numFmtId="0" fontId="19" fillId="14" borderId="0" xfId="5" applyFill="1" applyBorder="1" applyAlignment="1">
      <alignment horizontal="left" vertical="center"/>
    </xf>
    <xf numFmtId="0" fontId="12" fillId="14" borderId="0" xfId="2" applyFill="1" applyBorder="1" applyAlignment="1">
      <alignment vertical="center"/>
    </xf>
    <xf numFmtId="0" fontId="19" fillId="14" borderId="0" xfId="5" applyFill="1" applyBorder="1" applyAlignment="1">
      <alignment horizontal="right" vertical="center"/>
    </xf>
    <xf numFmtId="0" fontId="22" fillId="15" borderId="0" xfId="14" applyFill="1">
      <alignment vertical="center"/>
    </xf>
    <xf numFmtId="0" fontId="19" fillId="15" borderId="0" xfId="5" applyFill="1" applyBorder="1" applyAlignment="1">
      <alignment horizontal="left" vertical="center"/>
    </xf>
    <xf numFmtId="0" fontId="12" fillId="15" borderId="0" xfId="2" applyFill="1" applyBorder="1" applyAlignment="1">
      <alignment vertical="center"/>
    </xf>
    <xf numFmtId="0" fontId="19" fillId="15" borderId="0" xfId="5" applyFill="1" applyBorder="1" applyAlignment="1">
      <alignment horizontal="right" vertical="center"/>
    </xf>
    <xf numFmtId="0" fontId="22" fillId="16" borderId="0" xfId="14" applyFill="1">
      <alignment vertical="center"/>
    </xf>
    <xf numFmtId="0" fontId="19" fillId="16" borderId="0" xfId="5" applyFill="1" applyBorder="1" applyAlignment="1">
      <alignment horizontal="left" vertical="center"/>
    </xf>
    <xf numFmtId="0" fontId="12" fillId="16" borderId="0" xfId="2" applyFill="1" applyBorder="1" applyAlignment="1">
      <alignment vertical="center"/>
    </xf>
    <xf numFmtId="0" fontId="19" fillId="16" borderId="0" xfId="5" applyFill="1" applyBorder="1" applyAlignment="1">
      <alignment horizontal="right" vertical="center"/>
    </xf>
    <xf numFmtId="0" fontId="22" fillId="17" borderId="0" xfId="14" applyFill="1">
      <alignment vertical="center"/>
    </xf>
    <xf numFmtId="0" fontId="19" fillId="17" borderId="0" xfId="5" applyFill="1" applyBorder="1" applyAlignment="1">
      <alignment horizontal="left" vertical="center"/>
    </xf>
    <xf numFmtId="0" fontId="12" fillId="17" borderId="0" xfId="2" applyFill="1" applyBorder="1" applyAlignment="1">
      <alignment vertical="center"/>
    </xf>
    <xf numFmtId="0" fontId="19" fillId="17" borderId="0" xfId="5" applyFill="1" applyBorder="1" applyAlignment="1">
      <alignment horizontal="right" vertical="center"/>
    </xf>
    <xf numFmtId="0" fontId="19" fillId="18" borderId="0" xfId="5" applyFill="1" applyBorder="1" applyAlignment="1">
      <alignment horizontal="left" vertical="center"/>
    </xf>
    <xf numFmtId="0" fontId="12" fillId="18" borderId="0" xfId="2" applyFill="1" applyBorder="1" applyAlignment="1">
      <alignment vertical="center"/>
    </xf>
    <xf numFmtId="0" fontId="19" fillId="18" borderId="0" xfId="5" applyFill="1" applyBorder="1" applyAlignment="1">
      <alignment horizontal="right" vertical="center"/>
    </xf>
    <xf numFmtId="0" fontId="19" fillId="19" borderId="0" xfId="5" applyFill="1" applyBorder="1" applyAlignment="1">
      <alignment horizontal="left" vertical="center"/>
    </xf>
    <xf numFmtId="0" fontId="12" fillId="19" borderId="0" xfId="2" applyFill="1" applyBorder="1" applyAlignment="1">
      <alignment vertical="center"/>
    </xf>
    <xf numFmtId="0" fontId="19" fillId="19" borderId="0" xfId="5" applyFill="1" applyBorder="1" applyAlignment="1">
      <alignment horizontal="right" vertical="center"/>
    </xf>
    <xf numFmtId="0" fontId="22" fillId="20" borderId="0" xfId="14" applyFill="1">
      <alignment vertical="center"/>
    </xf>
    <xf numFmtId="0" fontId="19" fillId="20" borderId="0" xfId="5" applyFill="1" applyBorder="1" applyAlignment="1">
      <alignment horizontal="left" vertical="center"/>
    </xf>
    <xf numFmtId="0" fontId="12" fillId="20" borderId="0" xfId="2" applyFill="1" applyBorder="1" applyAlignment="1">
      <alignment vertical="center"/>
    </xf>
    <xf numFmtId="0" fontId="19" fillId="20" borderId="0" xfId="5" applyFill="1" applyBorder="1" applyAlignment="1">
      <alignment horizontal="right" vertical="center"/>
    </xf>
    <xf numFmtId="0" fontId="22" fillId="11" borderId="0" xfId="14" applyFill="1">
      <alignment vertical="center"/>
    </xf>
    <xf numFmtId="0" fontId="23" fillId="0" borderId="0" xfId="0" applyFont="1">
      <alignment vertical="top"/>
    </xf>
    <xf numFmtId="14" fontId="14" fillId="0" borderId="0" xfId="17" applyNumberFormat="1">
      <alignment horizontal="left" indent="1"/>
    </xf>
    <xf numFmtId="0" fontId="24" fillId="0" borderId="0" xfId="13" applyFont="1" applyAlignment="1">
      <alignment horizontal="right"/>
    </xf>
    <xf numFmtId="0" fontId="24" fillId="0" borderId="0" xfId="13" applyFont="1" applyAlignment="1">
      <alignment horizontal="right" vertical="top"/>
    </xf>
    <xf numFmtId="0" fontId="26" fillId="10" borderId="0" xfId="14" applyFont="1" applyFill="1">
      <alignment vertical="center"/>
    </xf>
    <xf numFmtId="0" fontId="26" fillId="10" borderId="0" xfId="5" applyFont="1" applyFill="1" applyBorder="1" applyAlignment="1">
      <alignment horizontal="left" vertical="center"/>
    </xf>
    <xf numFmtId="0" fontId="5" fillId="10" borderId="0" xfId="2" applyFont="1" applyFill="1" applyBorder="1" applyAlignment="1">
      <alignment vertical="center"/>
    </xf>
    <xf numFmtId="0" fontId="26" fillId="10" borderId="0" xfId="5" applyFont="1" applyFill="1" applyBorder="1" applyAlignment="1">
      <alignment horizontal="right" vertical="center"/>
    </xf>
    <xf numFmtId="0" fontId="26" fillId="19" borderId="0" xfId="14" applyFont="1" applyFill="1">
      <alignment vertical="center"/>
    </xf>
    <xf numFmtId="0" fontId="26" fillId="18" borderId="0" xfId="14" applyFont="1" applyFill="1">
      <alignment vertical="center"/>
    </xf>
    <xf numFmtId="178" fontId="14" fillId="7" borderId="0" xfId="16">
      <alignment horizontal="left" wrapText="1" indent="1"/>
    </xf>
    <xf numFmtId="178" fontId="14" fillId="0" borderId="0" xfId="17">
      <alignment horizontal="left" indent="1"/>
    </xf>
    <xf numFmtId="178" fontId="25" fillId="8" borderId="5" xfId="0" applyNumberFormat="1" applyFont="1" applyFill="1" applyBorder="1" applyAlignment="1">
      <alignment horizontal="left" indent="1"/>
    </xf>
    <xf numFmtId="0" fontId="28" fillId="0" borderId="0" xfId="0" applyFont="1">
      <alignment vertical="top"/>
    </xf>
    <xf numFmtId="0" fontId="29" fillId="0" borderId="0" xfId="0" applyFont="1" applyAlignment="1">
      <alignment horizontal="left" indent="1"/>
    </xf>
    <xf numFmtId="0" fontId="29" fillId="0" borderId="0" xfId="0" applyFont="1">
      <alignment vertical="top"/>
    </xf>
    <xf numFmtId="0" fontId="0" fillId="8" borderId="6" xfId="0" applyFill="1" applyBorder="1">
      <alignment vertical="top"/>
    </xf>
    <xf numFmtId="0" fontId="0" fillId="8" borderId="7" xfId="0" applyFill="1" applyBorder="1">
      <alignment vertical="top"/>
    </xf>
    <xf numFmtId="0" fontId="0" fillId="8" borderId="9" xfId="0" applyFill="1" applyBorder="1">
      <alignment vertical="top"/>
    </xf>
    <xf numFmtId="0" fontId="0" fillId="8" borderId="10" xfId="0" applyFill="1" applyBorder="1">
      <alignment vertical="top"/>
    </xf>
    <xf numFmtId="0" fontId="2" fillId="0" borderId="4" xfId="15" applyAlignment="1">
      <alignment horizontal="center" vertical="center"/>
    </xf>
  </cellXfs>
  <cellStyles count="52">
    <cellStyle name="20% - 강조색1" xfId="31" builtinId="30" customBuiltin="1"/>
    <cellStyle name="20% - 강조색2" xfId="34" builtinId="34" customBuiltin="1"/>
    <cellStyle name="20% - 강조색3" xfId="38" builtinId="38" customBuiltin="1"/>
    <cellStyle name="20% - 강조색4" xfId="42" builtinId="42" customBuiltin="1"/>
    <cellStyle name="20% - 강조색5" xfId="45" builtinId="46" customBuiltin="1"/>
    <cellStyle name="20% - 강조색6" xfId="49" builtinId="50" customBuiltin="1"/>
    <cellStyle name="40% - 강조색1" xfId="1" builtinId="31" customBuiltin="1"/>
    <cellStyle name="40% - 강조색2" xfId="35" builtinId="35" customBuiltin="1"/>
    <cellStyle name="40% - 강조색3" xfId="39" builtinId="39" customBuiltin="1"/>
    <cellStyle name="40% - 강조색4" xfId="43" builtinId="43" customBuiltin="1"/>
    <cellStyle name="40% - 강조색5" xfId="46" builtinId="47" customBuiltin="1"/>
    <cellStyle name="40% - 강조색6" xfId="50" builtinId="51" customBuiltin="1"/>
    <cellStyle name="60% - 강조색1" xfId="32" builtinId="32" customBuiltin="1"/>
    <cellStyle name="60% - 강조색2" xfId="36" builtinId="36" customBuiltin="1"/>
    <cellStyle name="60% - 강조색3" xfId="40" builtinId="40" customBuiltin="1"/>
    <cellStyle name="60% - 강조색4" xfId="44" builtinId="44" customBuiltin="1"/>
    <cellStyle name="60% - 강조색5" xfId="47" builtinId="48" customBuiltin="1"/>
    <cellStyle name="60% - 강조색6" xfId="51" builtinId="52" customBuiltin="1"/>
    <cellStyle name="강조색1" xfId="3" builtinId="29" customBuiltin="1"/>
    <cellStyle name="강조색2" xfId="33" builtinId="33" customBuiltin="1"/>
    <cellStyle name="강조색3" xfId="37" builtinId="37" customBuiltin="1"/>
    <cellStyle name="강조색4" xfId="41" builtinId="41" customBuiltin="1"/>
    <cellStyle name="강조색5" xfId="4" builtinId="45" customBuiltin="1"/>
    <cellStyle name="강조색6" xfId="48" builtinId="49" customBuiltin="1"/>
    <cellStyle name="경고문" xfId="27" builtinId="11" customBuiltin="1"/>
    <cellStyle name="계산" xfId="24" builtinId="22" customBuiltin="1"/>
    <cellStyle name="나쁨" xfId="20" builtinId="27" customBuiltin="1"/>
    <cellStyle name="메모" xfId="28" builtinId="10" customBuiltin="1"/>
    <cellStyle name="백분율" xfId="10" builtinId="5" customBuiltin="1"/>
    <cellStyle name="보통" xfId="21" builtinId="28" customBuiltin="1"/>
    <cellStyle name="설명 텍스트" xfId="29" builtinId="53" customBuiltin="1"/>
    <cellStyle name="설정 항목" xfId="18" xr:uid="{8F0303C9-060A-4378-B3BA-99408B995F90}"/>
    <cellStyle name="셀 확인" xfId="26" builtinId="23" customBuiltin="1"/>
    <cellStyle name="쉼표" xfId="6" builtinId="3" customBuiltin="1"/>
    <cellStyle name="쉼표 [0]" xfId="7" builtinId="6" customBuiltin="1"/>
    <cellStyle name="연결된 셀" xfId="25" builtinId="24" customBuiltin="1"/>
    <cellStyle name="요약" xfId="30" builtinId="25" customBuiltin="1"/>
    <cellStyle name="요일" xfId="17" xr:uid="{CB09B5E3-8995-4BCC-99D7-4E3B52C29B71}"/>
    <cellStyle name="요일 이름" xfId="15" xr:uid="{F4C59F2B-B807-4231-B5C0-B51F441FA314}"/>
    <cellStyle name="월" xfId="14" xr:uid="{0620BD55-CC6D-4E32-846C-ED1E5CA86C76}"/>
    <cellStyle name="입력" xfId="22" builtinId="20" customBuiltin="1"/>
    <cellStyle name="제목" xfId="5" builtinId="15" customBuiltin="1"/>
    <cellStyle name="제목 1" xfId="2" builtinId="16" customBuiltin="1"/>
    <cellStyle name="제목 2" xfId="12" builtinId="17" customBuiltin="1"/>
    <cellStyle name="제목 3" xfId="13" builtinId="18" customBuiltin="1"/>
    <cellStyle name="제목 4" xfId="11" builtinId="19" customBuiltin="1"/>
    <cellStyle name="좋음" xfId="19" builtinId="26" customBuiltin="1"/>
    <cellStyle name="줄무늬" xfId="16" xr:uid="{372A1842-8DB4-4B05-A4F9-194B0B56EABA}"/>
    <cellStyle name="출력" xfId="23" builtinId="21" customBuiltin="1"/>
    <cellStyle name="통화" xfId="8" builtinId="4" customBuiltin="1"/>
    <cellStyle name="통화 [0]" xfId="9" builtinId="7" customBuiltin="1"/>
    <cellStyle name="표준" xfId="0" builtinId="0" customBuiltin="1"/>
  </cellStyles>
  <dxfs count="3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autoPageBreaks="0" fitToPage="1"/>
  </sheetPr>
  <dimension ref="A1:K14"/>
  <sheetViews>
    <sheetView showGridLines="0" tabSelected="1" zoomScale="90" zoomScaleNormal="90" workbookViewId="0">
      <selection activeCell="E4" sqref="E4"/>
    </sheetView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customWidth="1"/>
    <col min="10" max="10" width="12.59765625" customWidth="1"/>
    <col min="11" max="11" width="13.59765625" customWidth="1"/>
    <col min="12" max="16384" width="8.69921875" style="65"/>
  </cols>
  <sheetData>
    <row r="1" spans="1:11" s="1" customFormat="1" ht="60" customHeight="1">
      <c r="A1"/>
      <c r="B1" s="49" t="str">
        <f>달력연도&amp;"년"&amp;" 1월"</f>
        <v>2025년 1월</v>
      </c>
      <c r="C1" s="10"/>
      <c r="D1" s="10"/>
      <c r="E1" s="11"/>
      <c r="F1" s="11"/>
      <c r="G1" s="11"/>
      <c r="H1" s="12"/>
    </row>
    <row r="2" spans="1:11" s="63" customFormat="1" ht="21.75" customHeight="1">
      <c r="A2"/>
      <c r="B2" s="4" t="str">
        <f>주시작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  <c r="I2" s="50"/>
      <c r="J2" s="70" t="s">
        <v>1</v>
      </c>
      <c r="K2" s="70"/>
    </row>
    <row r="3" spans="1:11" s="64" customFormat="1" ht="19.5" customHeight="1">
      <c r="A3"/>
      <c r="B3" s="61">
        <f t="array" ref="B3:H3">요일및주+DATE(달력연도,1,1)-WEEKDAY(DATE(달력연도,1,1),(주시작="월요일")+1)+1</f>
        <v>45655</v>
      </c>
      <c r="C3" s="61">
        <v>45656</v>
      </c>
      <c r="D3" s="61">
        <v>45657</v>
      </c>
      <c r="E3" s="61">
        <v>45658</v>
      </c>
      <c r="F3" s="61">
        <v>45659</v>
      </c>
      <c r="G3" s="61">
        <v>45660</v>
      </c>
      <c r="H3" s="61">
        <v>45661</v>
      </c>
      <c r="I3" s="2"/>
      <c r="J3" s="52" t="s">
        <v>2</v>
      </c>
      <c r="K3" s="6">
        <v>2025</v>
      </c>
    </row>
    <row r="4" spans="1:11" ht="57.9" customHeight="1">
      <c r="B4" s="61"/>
      <c r="C4" s="61"/>
      <c r="D4" s="61"/>
      <c r="E4" s="61"/>
      <c r="F4" s="61"/>
      <c r="G4" s="61"/>
      <c r="H4" s="61"/>
      <c r="J4" s="53" t="s">
        <v>3</v>
      </c>
      <c r="K4" s="7" t="s">
        <v>4</v>
      </c>
    </row>
    <row r="5" spans="1:11" s="64" customFormat="1" ht="19.5" customHeight="1">
      <c r="A5"/>
      <c r="B5" s="60">
        <f t="array" ref="B5:H5">요일및주+DATE(달력연도,1,1)-WEEKDAY(DATE(달력연도,1,1),(주시작="월요일")+1)+8</f>
        <v>45662</v>
      </c>
      <c r="C5" s="60">
        <v>45663</v>
      </c>
      <c r="D5" s="60">
        <v>45664</v>
      </c>
      <c r="E5" s="60">
        <v>45665</v>
      </c>
      <c r="F5" s="60">
        <v>45666</v>
      </c>
      <c r="G5" s="60">
        <v>45667</v>
      </c>
      <c r="H5" s="60">
        <v>45668</v>
      </c>
      <c r="I5" s="2"/>
      <c r="J5" s="2"/>
      <c r="K5" s="2"/>
    </row>
    <row r="6" spans="1:11" ht="57.9" customHeight="1">
      <c r="B6" s="60"/>
      <c r="C6" s="60"/>
      <c r="D6" s="60"/>
      <c r="E6" s="60"/>
      <c r="F6" s="60"/>
      <c r="G6" s="60"/>
      <c r="H6" s="60"/>
      <c r="J6" s="3"/>
    </row>
    <row r="7" spans="1:11" s="64" customFormat="1" ht="19.5" customHeight="1">
      <c r="A7"/>
      <c r="B7" s="61">
        <f t="array" ref="B7:H7">요일및주+DATE(달력연도,1,1)-WEEKDAY(DATE(달력연도,1,1),(주시작="월요일")+1)+15</f>
        <v>45669</v>
      </c>
      <c r="C7" s="61">
        <v>45670</v>
      </c>
      <c r="D7" s="61">
        <v>45671</v>
      </c>
      <c r="E7" s="61">
        <v>45672</v>
      </c>
      <c r="F7" s="61">
        <v>45673</v>
      </c>
      <c r="G7" s="61">
        <v>45674</v>
      </c>
      <c r="H7" s="61">
        <v>45675</v>
      </c>
      <c r="I7" s="2"/>
      <c r="J7" s="3"/>
      <c r="K7" s="2"/>
    </row>
    <row r="8" spans="1:11" ht="57.9" customHeight="1">
      <c r="B8" s="61"/>
      <c r="C8" s="61"/>
      <c r="D8" s="61"/>
      <c r="E8" s="61"/>
      <c r="F8" s="61"/>
      <c r="G8" s="61"/>
      <c r="H8" s="61"/>
    </row>
    <row r="9" spans="1:11" s="64" customFormat="1" ht="19.5" customHeight="1">
      <c r="A9"/>
      <c r="B9" s="60">
        <f t="array" ref="B9:H9">요일및주+DATE(달력연도,1,1)-WEEKDAY(DATE(달력연도,1,1),(주시작="월요일")+1)+22</f>
        <v>45676</v>
      </c>
      <c r="C9" s="60">
        <v>45677</v>
      </c>
      <c r="D9" s="60">
        <v>45678</v>
      </c>
      <c r="E9" s="60">
        <v>45679</v>
      </c>
      <c r="F9" s="60">
        <v>45680</v>
      </c>
      <c r="G9" s="60">
        <v>45681</v>
      </c>
      <c r="H9" s="60">
        <v>45682</v>
      </c>
      <c r="I9" s="2"/>
      <c r="J9" s="2"/>
      <c r="K9" s="2"/>
    </row>
    <row r="10" spans="1:11" ht="57.9" customHeight="1">
      <c r="B10" s="60"/>
      <c r="C10" s="60"/>
      <c r="D10" s="60"/>
      <c r="E10" s="60"/>
      <c r="F10" s="60"/>
      <c r="G10" s="60"/>
      <c r="H10" s="60"/>
    </row>
    <row r="11" spans="1:11" s="64" customFormat="1" ht="19.5" customHeight="1">
      <c r="A11"/>
      <c r="B11" s="61">
        <f t="array" ref="B11:H11">요일및주+DATE(달력연도,1,1)-WEEKDAY(DATE(달력연도,1,1),(주시작="월요일")+1)+29</f>
        <v>45683</v>
      </c>
      <c r="C11" s="61">
        <v>45684</v>
      </c>
      <c r="D11" s="61">
        <v>45685</v>
      </c>
      <c r="E11" s="61">
        <v>45686</v>
      </c>
      <c r="F11" s="61">
        <v>45687</v>
      </c>
      <c r="G11" s="61">
        <v>45688</v>
      </c>
      <c r="H11" s="61">
        <v>45689</v>
      </c>
      <c r="I11" s="2"/>
      <c r="J11" s="2"/>
      <c r="K11" s="2"/>
    </row>
    <row r="12" spans="1:11" ht="57.9" customHeight="1">
      <c r="B12" s="61"/>
      <c r="C12" s="61"/>
      <c r="D12" s="61"/>
      <c r="E12" s="61"/>
      <c r="F12" s="61"/>
      <c r="G12" s="61"/>
      <c r="H12" s="61"/>
    </row>
    <row r="13" spans="1:11" s="64" customFormat="1" ht="19.5" customHeight="1">
      <c r="A13"/>
      <c r="B13" s="60">
        <f t="array" ref="B13:C13">요일및주+DATE(달력연도,1,1)-WEEKDAY(DATE(달력연도,1,1),(주시작="월요일")+1)+36</f>
        <v>45690</v>
      </c>
      <c r="C13" s="60">
        <v>45691</v>
      </c>
      <c r="D13" s="62" t="s">
        <v>0</v>
      </c>
      <c r="E13" s="66"/>
      <c r="F13" s="66"/>
      <c r="G13" s="66"/>
      <c r="H13" s="67"/>
      <c r="I13" s="2"/>
      <c r="J13" s="2"/>
      <c r="K13" s="2"/>
    </row>
    <row r="14" spans="1:11" ht="57.9" customHeight="1">
      <c r="B14" s="60"/>
      <c r="C14" s="60"/>
      <c r="D14" s="5"/>
      <c r="E14" s="68"/>
      <c r="F14" s="68"/>
      <c r="G14" s="68"/>
      <c r="H14" s="69"/>
    </row>
  </sheetData>
  <mergeCells count="2">
    <mergeCell ref="E13:H14"/>
    <mergeCell ref="J2:K2"/>
  </mergeCells>
  <phoneticPr fontId="1" type="noConversion"/>
  <conditionalFormatting sqref="B13:D13">
    <cfRule type="expression" dxfId="35" priority="1">
      <formula>AND(DAY(B13)&gt;=1,DAY(B13)&lt;=15)</formula>
    </cfRule>
  </conditionalFormatting>
  <conditionalFormatting sqref="B3:G3">
    <cfRule type="expression" dxfId="34" priority="24">
      <formula>DAY(B3)&gt;8</formula>
    </cfRule>
  </conditionalFormatting>
  <conditionalFormatting sqref="B11:H11">
    <cfRule type="expression" dxfId="33" priority="25">
      <formula>AND(DAY(B11)&gt;=1,DAY(B11)&lt;=15)</formula>
    </cfRule>
  </conditionalFormatting>
  <dataValidations count="14">
    <dataValidation type="list" errorStyle="warning" allowBlank="1" showInputMessage="1" showErrorMessage="1" error="목록에서 요일을 선택합니다. 취소를 선택한 다음 Alt+아래쪽 화살표를 눌러 드롭다운 목록에서 요일을 선택합니다" prompt="이 셀에서 주 시작 요일을 선택합니다. Alt+아래쪽 화살표를 눌러 드롭다운 목록을 연 다음 Enter 키를 눌러 주 시작 요일을 선택합니다" sqref="K4" xr:uid="{00000000-0002-0000-0000-000000000000}">
      <formula1>"일요일,월요일"</formula1>
    </dataValidation>
    <dataValidation allowBlank="1" showInputMessage="1" showErrorMessage="1" prompt="이 통합 문서에서 사용자 지정 월별 달력을 만듭니다. 이 1월 워크시트에서 모든 달의 연도와 주의 시작 요일을 사용자 지정합니다. 각 달은 별도의 워크시트에 있습니다" sqref="A1" xr:uid="{00000000-0002-0000-0000-000001000000}"/>
    <dataValidation allowBlank="1" showInputMessage="1" showErrorMessage="1" prompt="연도를 입력하고 아래 셀에서 달력 시작 요일을 선택합니다. 이 달력 설정 셀은 인쇄되지 않습니다" sqref="J2" xr:uid="{00000000-0002-0000-0000-000003000000}"/>
    <dataValidation allowBlank="1" showInputMessage="1" showErrorMessage="1" prompt="오른쪽 셀에 연도를 입력합니다" sqref="J3" xr:uid="{00000000-0002-0000-0000-000004000000}"/>
    <dataValidation allowBlank="1" showInputMessage="1" showErrorMessage="1" prompt="오른쪽 셀에 주 시작 요일을 선택합니다." sqref="J4" xr:uid="{00000000-0002-0000-0000-000005000000}"/>
    <dataValidation allowBlank="1" showInputMessage="1" showErrorMessage="1" prompt="이 셀에 연도를 입력합니다" sqref="K3" xr:uid="{00000000-0002-0000-0000-000006000000}"/>
    <dataValidation allowBlank="1" showInputMessage="1" showErrorMessage="1" prompt="이 행에는 이 달력의 요일 이름이 포함됩니다. 이 셀에는 주의 시작 요일이 포함됩니다. 시작 요일을 변경하려면 K4 셀에 새 요일을 입력하세요" sqref="B2" xr:uid="{00000000-0002-0000-0000-000007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000-000008000000}"/>
    <dataValidation allowBlank="1" showErrorMessage="1" prompt="이 셀의 연도는 K2 셀에 입력한 연도에 따라 자동으로 업데이트됩니다. 아래 일정에는 이전 달과 다음 달의 날짜가 연한 글꼴 음영으로 표시됩니다." sqref="B1" xr:uid="{00000000-0002-0000-0000-000009000000}"/>
    <dataValidation allowBlank="1" showInputMessage="1" showErrorMessage="1" prompt="자동으로 결정된 평일입니다." sqref="C2:H2" xr:uid="{00000000-0002-0000-0000-00000A000000}"/>
    <dataValidation allowBlank="1" showInputMessage="1" showErrorMessage="1" prompt="이 행과 6, 8, 10, 12, 14 행은 위의 셀에 있는 날짜와 관련된 일별 메모를 입력하는 셀입니다." sqref="B4" xr:uid="{00000000-0002-0000-0000-00000B000000}"/>
    <dataValidation allowBlank="1" showInputMessage="1" showErrorMessage="1" prompt="이 셀에 메모를 입력합니다." sqref="E13:H14" xr:uid="{00000000-0002-0000-0000-00000C000000}"/>
    <dataValidation allowBlank="1" showInputMessage="1" showErrorMessage="1" prompt="오른쪽 셀에 메모를 입력합니다" sqref="D13:D14" xr:uid="{00000000-0002-0000-0000-00000D000000}"/>
    <dataValidation allowBlank="1" showInputMessage="1" showErrorMessage="1" prompt="이 셀의 연도는 자동으로 업데이트됩니다. 연도를 변경하려면 K3 셀에서 다른 연도를 선택합니다" sqref="C1" xr:uid="{68DB1B5F-672F-42EA-B173-279D18DF96BF}"/>
  </dataValidations>
  <printOptions horizontalCentered="1" verticalCentered="1"/>
  <pageMargins left="0.7" right="0.7" top="0.75" bottom="0.75" header="0.3" footer="0.3"/>
  <pageSetup paperSize="9" orientation="landscape" r:id="rId1"/>
  <headerFooter differentFirst="1" alignWithMargins="0">
    <oddFooter>Page &amp;P of &amp;N</oddFooter>
  </headerFooter>
  <customProperties>
    <customPr name="SheetChanged" r:id="rId2"/>
  </customPropertie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39997558519241921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1:8" s="1" customFormat="1" ht="59.25" customHeight="1">
      <c r="A1"/>
      <c r="B1" s="17" t="str">
        <f>달력연도&amp;"년"&amp;" 2월"</f>
        <v>2025년 2월</v>
      </c>
      <c r="C1" s="18"/>
      <c r="D1" s="18"/>
      <c r="E1" s="19"/>
      <c r="F1" s="19"/>
      <c r="G1" s="19"/>
      <c r="H1" s="20"/>
    </row>
    <row r="2" spans="1:8" s="63" customFormat="1" ht="21.75" customHeight="1">
      <c r="A2"/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1:8" s="64" customFormat="1" ht="19.5" customHeight="1">
      <c r="A3"/>
      <c r="B3" s="61">
        <f t="array" ref="B3:H3">요일및주+DATE(달력연도,2,1)-WEEKDAY(DATE(달력연도,2,1),(주시작="월요일")+1)+1</f>
        <v>45683</v>
      </c>
      <c r="C3" s="61">
        <v>45684</v>
      </c>
      <c r="D3" s="61">
        <v>45685</v>
      </c>
      <c r="E3" s="61">
        <v>45686</v>
      </c>
      <c r="F3" s="61">
        <v>45687</v>
      </c>
      <c r="G3" s="61">
        <v>45688</v>
      </c>
      <c r="H3" s="61">
        <v>45689</v>
      </c>
    </row>
    <row r="4" spans="1:8" ht="57.9" customHeight="1">
      <c r="B4" s="61"/>
      <c r="C4" s="61"/>
      <c r="D4" s="61"/>
      <c r="E4" s="61"/>
      <c r="F4" s="61"/>
      <c r="G4" s="61"/>
      <c r="H4" s="61"/>
    </row>
    <row r="5" spans="1:8" s="64" customFormat="1" ht="19.5" customHeight="1">
      <c r="A5"/>
      <c r="B5" s="60">
        <f t="array" ref="B5:H5">요일및주+DATE(달력연도,2,1)-WEEKDAY(DATE(달력연도,2,1),(주시작="월요일")+1)+8</f>
        <v>45690</v>
      </c>
      <c r="C5" s="60">
        <v>45691</v>
      </c>
      <c r="D5" s="60">
        <v>45692</v>
      </c>
      <c r="E5" s="60">
        <v>45693</v>
      </c>
      <c r="F5" s="60">
        <v>45694</v>
      </c>
      <c r="G5" s="60">
        <v>45695</v>
      </c>
      <c r="H5" s="60">
        <v>45696</v>
      </c>
    </row>
    <row r="6" spans="1:8" ht="57.9" customHeight="1">
      <c r="B6" s="60"/>
      <c r="C6" s="60"/>
      <c r="D6" s="60"/>
      <c r="E6" s="60"/>
      <c r="F6" s="60"/>
      <c r="G6" s="60"/>
      <c r="H6" s="60"/>
    </row>
    <row r="7" spans="1:8" s="64" customFormat="1" ht="19.5" customHeight="1">
      <c r="A7"/>
      <c r="B7" s="61">
        <f t="array" ref="B7:H7">요일및주+DATE(달력연도,2,1)-WEEKDAY(DATE(달력연도,2,1),(주시작="월요일")+1)+15</f>
        <v>45697</v>
      </c>
      <c r="C7" s="61">
        <v>45698</v>
      </c>
      <c r="D7" s="61">
        <v>45699</v>
      </c>
      <c r="E7" s="61">
        <v>45700</v>
      </c>
      <c r="F7" s="61">
        <v>45701</v>
      </c>
      <c r="G7" s="61">
        <v>45702</v>
      </c>
      <c r="H7" s="61">
        <v>45703</v>
      </c>
    </row>
    <row r="8" spans="1:8" ht="57.9" customHeight="1">
      <c r="B8" s="61"/>
      <c r="C8" s="61"/>
      <c r="D8" s="61"/>
      <c r="E8" s="61"/>
      <c r="F8" s="61"/>
      <c r="G8" s="61"/>
      <c r="H8" s="61"/>
    </row>
    <row r="9" spans="1:8" s="64" customFormat="1" ht="19.5" customHeight="1">
      <c r="A9"/>
      <c r="B9" s="60">
        <f t="array" ref="B9:H9">요일및주+DATE(달력연도,2,1)-WEEKDAY(DATE(달력연도,2,1),(주시작="월요일")+1)+22</f>
        <v>45704</v>
      </c>
      <c r="C9" s="60">
        <v>45705</v>
      </c>
      <c r="D9" s="60">
        <v>45706</v>
      </c>
      <c r="E9" s="60">
        <v>45707</v>
      </c>
      <c r="F9" s="60">
        <v>45708</v>
      </c>
      <c r="G9" s="60">
        <v>45709</v>
      </c>
      <c r="H9" s="60">
        <v>45710</v>
      </c>
    </row>
    <row r="10" spans="1:8" ht="57.9" customHeight="1">
      <c r="B10" s="60"/>
      <c r="C10" s="60"/>
      <c r="D10" s="60"/>
      <c r="E10" s="60"/>
      <c r="F10" s="60"/>
      <c r="G10" s="60"/>
      <c r="H10" s="60"/>
    </row>
    <row r="11" spans="1:8" s="64" customFormat="1" ht="19.5" customHeight="1">
      <c r="A11"/>
      <c r="B11" s="61">
        <f t="array" ref="B11:H11">요일및주+DATE(달력연도,2,1)-WEEKDAY(DATE(달력연도,2,1),(주시작="월요일")+1)+29</f>
        <v>45711</v>
      </c>
      <c r="C11" s="61">
        <v>45712</v>
      </c>
      <c r="D11" s="61">
        <v>45713</v>
      </c>
      <c r="E11" s="61">
        <v>45714</v>
      </c>
      <c r="F11" s="61">
        <v>45715</v>
      </c>
      <c r="G11" s="61">
        <v>45716</v>
      </c>
      <c r="H11" s="61">
        <v>45717</v>
      </c>
    </row>
    <row r="12" spans="1:8" ht="57.9" customHeight="1">
      <c r="B12" s="61"/>
      <c r="C12" s="61"/>
      <c r="D12" s="61"/>
      <c r="E12" s="61"/>
      <c r="F12" s="61"/>
      <c r="G12" s="61"/>
      <c r="H12" s="61"/>
    </row>
    <row r="13" spans="1:8" s="64" customFormat="1" ht="19.5" customHeight="1">
      <c r="A13"/>
      <c r="B13" s="60">
        <f t="array" ref="B13:C13">요일및주+DATE(달력연도,2,1)-WEEKDAY(DATE(달력연도,2,1),(주시작="월요일")+1)+36</f>
        <v>45718</v>
      </c>
      <c r="C13" s="60">
        <v>45719</v>
      </c>
      <c r="D13" s="62" t="s">
        <v>0</v>
      </c>
      <c r="E13" s="66"/>
      <c r="F13" s="66"/>
      <c r="G13" s="66"/>
      <c r="H13" s="67"/>
    </row>
    <row r="14" spans="1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32" priority="1">
      <formula>AND(DAY(B13)&gt;=1,DAY(B13)&lt;=15)</formula>
    </cfRule>
  </conditionalFormatting>
  <conditionalFormatting sqref="B3:G3">
    <cfRule type="expression" dxfId="31" priority="3">
      <formula>DAY(B3)&gt;8</formula>
    </cfRule>
  </conditionalFormatting>
  <conditionalFormatting sqref="B11:H11">
    <cfRule type="expression" dxfId="30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1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1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1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100-000003000000}"/>
    <dataValidation allowBlank="1" showInputMessage="1" showErrorMessage="1" prompt="2월 달력" sqref="A1" xr:uid="{00000000-0002-0000-0100-000005000000}"/>
    <dataValidation allowBlank="1" showInputMessage="1" showErrorMessage="1" prompt="오른쪽 셀에 메모를 입력합니다." sqref="D13:D14" xr:uid="{00000000-0002-0000-0100-000006000000}"/>
    <dataValidation allowBlank="1" showInputMessage="1" showErrorMessage="1" prompt="이 셀에 메모를 입력합니다." sqref="E13:H14" xr:uid="{00000000-0002-0000-0100-000007000000}"/>
    <dataValidation allowBlank="1" showInputMessage="1" showErrorMessage="1" prompt="이 행과 6, 8, 10, 12, 14 행은 위의 셀에 있는 날짜와 관련된 일별 메모를 입력하는 셀입니다" sqref="B4" xr:uid="{00000000-0002-0000-0100-000008000000}"/>
    <dataValidation allowBlank="1" showInputMessage="1" showErrorMessage="1" prompt="이 셀의 연도는 자동으로 업데이트됩니다. 연도를 변경하려면 1월 워크시트의 K3 셀에서 다른 연도를 선택하세요" sqref="C1" xr:uid="{B76B5EE0-7A31-4E98-9046-DEB20A06C325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23" t="str">
        <f>달력연도&amp;"년"&amp;" 3월"</f>
        <v>2025년 3월</v>
      </c>
      <c r="C1" s="24"/>
      <c r="D1" s="24"/>
      <c r="E1" s="25"/>
      <c r="F1" s="25"/>
      <c r="G1" s="25"/>
      <c r="H1" s="26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요일및주+DATE(달력연도,3,1)-WEEKDAY(DATE(달력연도,3,1),(주시작="월요일")+1)+1</f>
        <v>45711</v>
      </c>
      <c r="C3" s="61">
        <v>45712</v>
      </c>
      <c r="D3" s="61">
        <v>45713</v>
      </c>
      <c r="E3" s="61">
        <v>45714</v>
      </c>
      <c r="F3" s="61">
        <v>45715</v>
      </c>
      <c r="G3" s="61">
        <v>45716</v>
      </c>
      <c r="H3" s="61">
        <v>45717</v>
      </c>
    </row>
    <row r="4" spans="2:8" ht="57.9" customHeight="1">
      <c r="H4" s="51"/>
    </row>
    <row r="5" spans="2:8" ht="19.5" customHeight="1">
      <c r="B5" s="60">
        <f t="array" ref="B5:H5">요일및주+DATE(달력연도,3,1)-WEEKDAY(DATE(달력연도,3,1),(주시작="월요일")+1)+8</f>
        <v>45718</v>
      </c>
      <c r="C5" s="60">
        <v>45719</v>
      </c>
      <c r="D5" s="60">
        <v>45720</v>
      </c>
      <c r="E5" s="60">
        <v>45721</v>
      </c>
      <c r="F5" s="60">
        <v>45722</v>
      </c>
      <c r="G5" s="60">
        <v>45723</v>
      </c>
      <c r="H5" s="60">
        <v>45724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요일및주+DATE(달력연도,3,1)-WEEKDAY(DATE(달력연도,3,1),(주시작="월요일")+1)+15</f>
        <v>45725</v>
      </c>
      <c r="C7" s="61">
        <v>45726</v>
      </c>
      <c r="D7" s="61">
        <v>45727</v>
      </c>
      <c r="E7" s="61">
        <v>45728</v>
      </c>
      <c r="F7" s="61">
        <v>45729</v>
      </c>
      <c r="G7" s="61">
        <v>45730</v>
      </c>
      <c r="H7" s="61">
        <v>45731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요일및주+DATE(달력연도,3,1)-WEEKDAY(DATE(달력연도,3,1),(주시작="월요일")+1)+22</f>
        <v>45732</v>
      </c>
      <c r="C9" s="60">
        <v>45733</v>
      </c>
      <c r="D9" s="60">
        <v>45734</v>
      </c>
      <c r="E9" s="60">
        <v>45735</v>
      </c>
      <c r="F9" s="60">
        <v>45736</v>
      </c>
      <c r="G9" s="60">
        <v>45737</v>
      </c>
      <c r="H9" s="60">
        <v>45738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요일및주+DATE(달력연도,3,1)-WEEKDAY(DATE(달력연도,3,1),(주시작="월요일")+1)+29</f>
        <v>45739</v>
      </c>
      <c r="C11" s="61">
        <v>45740</v>
      </c>
      <c r="D11" s="61">
        <v>45741</v>
      </c>
      <c r="E11" s="61">
        <v>45742</v>
      </c>
      <c r="F11" s="61">
        <v>45743</v>
      </c>
      <c r="G11" s="61">
        <v>45744</v>
      </c>
      <c r="H11" s="61">
        <v>45745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요일및주+DATE(달력연도,3,1)-WEEKDAY(DATE(달력연도,3,1),(주시작="월요일")+1)+36</f>
        <v>45746</v>
      </c>
      <c r="C13" s="60">
        <v>45747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29" priority="7">
      <formula>AND(DAY(B13)&gt;=1,DAY(B13)&lt;=15)</formula>
    </cfRule>
  </conditionalFormatting>
  <conditionalFormatting sqref="B3:G3">
    <cfRule type="expression" dxfId="28" priority="1">
      <formula>DAY(B3)&gt;8</formula>
    </cfRule>
  </conditionalFormatting>
  <conditionalFormatting sqref="B11:H11">
    <cfRule type="expression" dxfId="27" priority="10">
      <formula>AND(DAY(B11)&gt;=1,DAY(B11)&lt;=15)</formula>
    </cfRule>
  </conditionalFormatting>
  <dataValidations xWindow="208" yWindow="410" count="9">
    <dataValidation allowBlank="1" showInputMessage="1" showErrorMessage="1" prompt="이 행과 6, 8, 10, 12, 14 행은 위의 셀에 있는 날짜와 관련된 일별 메모를 입력하는 셀입니다" sqref="B4" xr:uid="{00000000-0002-0000-0200-000000000000}"/>
    <dataValidation allowBlank="1" showInputMessage="1" showErrorMessage="1" prompt="이 셀에 메모를 입력합니다." sqref="E13:H14" xr:uid="{00000000-0002-0000-0200-000001000000}"/>
    <dataValidation allowBlank="1" showInputMessage="1" showErrorMessage="1" prompt="오른쪽 셀에 메모를 입력합니다." sqref="D13:D14" xr:uid="{00000000-0002-0000-0200-000002000000}"/>
    <dataValidation allowBlank="1" showInputMessage="1" showErrorMessage="1" prompt="3월 달력" sqref="A1" xr:uid="{00000000-0002-0000-0200-000003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200-000005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200-000006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200-000007000000}"/>
    <dataValidation allowBlank="1" showInputMessage="1" showErrorMessage="1" prompt="자동으로 요일이 결정됩니다" sqref="C2:H2" xr:uid="{00000000-0002-0000-0200-000008000000}"/>
    <dataValidation allowBlank="1" showInputMessage="1" showErrorMessage="1" prompt="이 셀의 연도는 자동으로 업데이트됩니다. 연도를 변경하려면 1월 워크시트의 K3 셀에서 다른 연도를 선택하세요" sqref="C1" xr:uid="{C1995E01-AAE3-4041-A81C-0B13ED717A16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21" t="str">
        <f>달력연도&amp;"년"&amp;" 4월"</f>
        <v>2025년 4월</v>
      </c>
      <c r="C1" s="8"/>
      <c r="D1" s="8"/>
      <c r="E1" s="9"/>
      <c r="F1" s="9"/>
      <c r="G1" s="9"/>
      <c r="H1" s="22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요일및주+DATE(달력연도,4,1)-WEEKDAY(DATE(달력연도,4,1),(주시작="월요일")+1)+1</f>
        <v>45746</v>
      </c>
      <c r="C3" s="61">
        <v>45747</v>
      </c>
      <c r="D3" s="61">
        <v>45748</v>
      </c>
      <c r="E3" s="61">
        <v>45749</v>
      </c>
      <c r="F3" s="61">
        <v>45750</v>
      </c>
      <c r="G3" s="61">
        <v>45751</v>
      </c>
      <c r="H3" s="61">
        <v>45752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요일및주+DATE(달력연도,4,1)-WEEKDAY(DATE(달력연도,4,1),(주시작="월요일")+1)+8</f>
        <v>45753</v>
      </c>
      <c r="C5" s="60">
        <v>45754</v>
      </c>
      <c r="D5" s="60">
        <v>45755</v>
      </c>
      <c r="E5" s="60">
        <v>45756</v>
      </c>
      <c r="F5" s="60">
        <v>45757</v>
      </c>
      <c r="G5" s="60">
        <v>45758</v>
      </c>
      <c r="H5" s="60">
        <v>45759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요일및주+DATE(달력연도,4,1)-WEEKDAY(DATE(달력연도,4,1),(주시작="월요일")+1)+15</f>
        <v>45760</v>
      </c>
      <c r="C7" s="61">
        <v>45761</v>
      </c>
      <c r="D7" s="61">
        <v>45762</v>
      </c>
      <c r="E7" s="61">
        <v>45763</v>
      </c>
      <c r="F7" s="61">
        <v>45764</v>
      </c>
      <c r="G7" s="61">
        <v>45765</v>
      </c>
      <c r="H7" s="61">
        <v>45766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요일및주+DATE(달력연도,4,1)-WEEKDAY(DATE(달력연도,4,1),(주시작="월요일")+1)+22</f>
        <v>45767</v>
      </c>
      <c r="C9" s="60">
        <v>45768</v>
      </c>
      <c r="D9" s="60">
        <v>45769</v>
      </c>
      <c r="E9" s="60">
        <v>45770</v>
      </c>
      <c r="F9" s="60">
        <v>45771</v>
      </c>
      <c r="G9" s="60">
        <v>45772</v>
      </c>
      <c r="H9" s="60">
        <v>45773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요일및주+DATE(달력연도,4,1)-WEEKDAY(DATE(달력연도,4,1),(주시작="월요일")+1)+29</f>
        <v>45774</v>
      </c>
      <c r="C11" s="61">
        <v>45775</v>
      </c>
      <c r="D11" s="61">
        <v>45776</v>
      </c>
      <c r="E11" s="61">
        <v>45777</v>
      </c>
      <c r="F11" s="61">
        <v>45778</v>
      </c>
      <c r="G11" s="61">
        <v>45779</v>
      </c>
      <c r="H11" s="61">
        <v>45780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요일및주+DATE(달력연도,4,1)-WEEKDAY(DATE(달력연도,4,1),(주시작="월요일")+1)+36</f>
        <v>45781</v>
      </c>
      <c r="C13" s="60">
        <v>45782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26" priority="1">
      <formula>AND(DAY(B13)&gt;=1,DAY(B13)&lt;=15)</formula>
    </cfRule>
  </conditionalFormatting>
  <conditionalFormatting sqref="B3:G3">
    <cfRule type="expression" dxfId="25" priority="3">
      <formula>DAY(B3)&gt;8</formula>
    </cfRule>
  </conditionalFormatting>
  <conditionalFormatting sqref="B11:H11">
    <cfRule type="expression" dxfId="24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3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3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3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300-000003000000}"/>
    <dataValidation allowBlank="1" showInputMessage="1" showErrorMessage="1" prompt="4월 달력" sqref="A1" xr:uid="{00000000-0002-0000-0300-000005000000}"/>
    <dataValidation allowBlank="1" showInputMessage="1" showErrorMessage="1" prompt="오른쪽 셀에 메모를 입력합니다." sqref="D13:D14" xr:uid="{00000000-0002-0000-0300-000006000000}"/>
    <dataValidation allowBlank="1" showInputMessage="1" showErrorMessage="1" prompt="이 셀에 메모를 입력합니다." sqref="E13:H14" xr:uid="{00000000-0002-0000-0300-000007000000}"/>
    <dataValidation allowBlank="1" showInputMessage="1" showErrorMessage="1" prompt="이 행과 6, 8, 10, 12, 14 행은 위의 셀에 있는 날짜와 관련된 일별 메모를 입력하는 셀입니다" sqref="B4" xr:uid="{00000000-0002-0000-0300-000008000000}"/>
    <dataValidation allowBlank="1" showInputMessage="1" showErrorMessage="1" prompt="이 셀의 연도는 자동으로 업데이트됩니다. 연도를 변경하려면 1월 워크시트의 K3 셀에서 다른 연도를 선택하세요" sqref="C1" xr:uid="{D16B5673-0252-4E4D-BE2B-2E1EE12D2911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54" t="str">
        <f>달력연도&amp;"년"&amp;" 5월"</f>
        <v>2025년 5월</v>
      </c>
      <c r="C1" s="55"/>
      <c r="D1" s="55"/>
      <c r="E1" s="56"/>
      <c r="F1" s="56"/>
      <c r="G1" s="56"/>
      <c r="H1" s="57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요일및주+DATE(달력연도,5,1)-WEEKDAY(DATE(달력연도,5,1),(주시작="월요일")+1)+1</f>
        <v>45774</v>
      </c>
      <c r="C3" s="61">
        <v>45775</v>
      </c>
      <c r="D3" s="61">
        <v>45776</v>
      </c>
      <c r="E3" s="61">
        <v>45777</v>
      </c>
      <c r="F3" s="61">
        <v>45778</v>
      </c>
      <c r="G3" s="61">
        <v>45779</v>
      </c>
      <c r="H3" s="61">
        <v>45780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요일및주+DATE(달력연도,5,1)-WEEKDAY(DATE(달력연도,5,1),(주시작="월요일")+1)+8</f>
        <v>45781</v>
      </c>
      <c r="C5" s="60">
        <v>45782</v>
      </c>
      <c r="D5" s="60">
        <v>45783</v>
      </c>
      <c r="E5" s="60">
        <v>45784</v>
      </c>
      <c r="F5" s="60">
        <v>45785</v>
      </c>
      <c r="G5" s="60">
        <v>45786</v>
      </c>
      <c r="H5" s="60">
        <v>45787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요일및주+DATE(달력연도,5,1)-WEEKDAY(DATE(달력연도,5,1),(주시작="월요일")+1)+15</f>
        <v>45788</v>
      </c>
      <c r="C7" s="61">
        <v>45789</v>
      </c>
      <c r="D7" s="61">
        <v>45790</v>
      </c>
      <c r="E7" s="61">
        <v>45791</v>
      </c>
      <c r="F7" s="61">
        <v>45792</v>
      </c>
      <c r="G7" s="61">
        <v>45793</v>
      </c>
      <c r="H7" s="61">
        <v>45794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요일및주+DATE(달력연도,5,1)-WEEKDAY(DATE(달력연도,5,1),(주시작="월요일")+1)+22</f>
        <v>45795</v>
      </c>
      <c r="C9" s="60">
        <v>45796</v>
      </c>
      <c r="D9" s="60">
        <v>45797</v>
      </c>
      <c r="E9" s="60">
        <v>45798</v>
      </c>
      <c r="F9" s="60">
        <v>45799</v>
      </c>
      <c r="G9" s="60">
        <v>45800</v>
      </c>
      <c r="H9" s="60">
        <v>45801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요일및주+DATE(달력연도,5,1)-WEEKDAY(DATE(달력연도,5,1),(주시작="월요일")+1)+29</f>
        <v>45802</v>
      </c>
      <c r="C11" s="61">
        <v>45803</v>
      </c>
      <c r="D11" s="61">
        <v>45804</v>
      </c>
      <c r="E11" s="61">
        <v>45805</v>
      </c>
      <c r="F11" s="61">
        <v>45806</v>
      </c>
      <c r="G11" s="61">
        <v>45807</v>
      </c>
      <c r="H11" s="61">
        <v>45808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요일및주+DATE(달력연도,5,1)-WEEKDAY(DATE(달력연도,5,1),(주시작="월요일")+1)+36</f>
        <v>45809</v>
      </c>
      <c r="C13" s="60">
        <v>45810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23" priority="1">
      <formula>AND(DAY(B13)&gt;=1,DAY(B13)&lt;=15)</formula>
    </cfRule>
  </conditionalFormatting>
  <conditionalFormatting sqref="B3:G3">
    <cfRule type="expression" dxfId="22" priority="3">
      <formula>DAY(B3)&gt;8</formula>
    </cfRule>
  </conditionalFormatting>
  <conditionalFormatting sqref="B11:H11">
    <cfRule type="expression" dxfId="21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4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4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4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400-000003000000}"/>
    <dataValidation allowBlank="1" showInputMessage="1" showErrorMessage="1" prompt="5월 달력" sqref="A1" xr:uid="{00000000-0002-0000-0400-000005000000}"/>
    <dataValidation allowBlank="1" showInputMessage="1" showErrorMessage="1" prompt="오른쪽 셀에 메모를 입력합니다." sqref="D13:D14" xr:uid="{00000000-0002-0000-0400-000006000000}"/>
    <dataValidation allowBlank="1" showInputMessage="1" showErrorMessage="1" prompt="이 셀에 메모를 입력합니다." sqref="E13:H14" xr:uid="{00000000-0002-0000-0400-000007000000}"/>
    <dataValidation allowBlank="1" showInputMessage="1" showErrorMessage="1" prompt="이 행과 6, 8, 10, 12, 14 행은 위의 셀에 있는 날짜와 관련된 일별 메모를 입력하는 셀입니다" sqref="B4" xr:uid="{00000000-0002-0000-0400-000008000000}"/>
    <dataValidation allowBlank="1" showInputMessage="1" showErrorMessage="1" prompt="이 셀의 연도는 자동으로 업데이트됩니다. 연도를 변경하려면 1월 워크시트의 K3 셀에서 다른 연도를 선택하세요" sqref="C1" xr:uid="{ABE90B0D-7A98-427F-982B-03C8A65C5CD7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13" t="str">
        <f>달력연도&amp;"년"&amp;" 6월"</f>
        <v>2025년 6월</v>
      </c>
      <c r="C1" s="14"/>
      <c r="D1" s="14"/>
      <c r="E1" s="15"/>
      <c r="F1" s="15"/>
      <c r="G1" s="15"/>
      <c r="H1" s="16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요일및주+DATE(달력연도,6,1)-WEEKDAY(DATE(달력연도,6,1),(주시작="월요일")+1)+1</f>
        <v>45809</v>
      </c>
      <c r="C3" s="61">
        <v>45810</v>
      </c>
      <c r="D3" s="61">
        <v>45811</v>
      </c>
      <c r="E3" s="61">
        <v>45812</v>
      </c>
      <c r="F3" s="61">
        <v>45813</v>
      </c>
      <c r="G3" s="61">
        <v>45814</v>
      </c>
      <c r="H3" s="61">
        <v>45815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요일및주+DATE(달력연도,6,1)-WEEKDAY(DATE(달력연도,6,1),(주시작="월요일")+1)+8</f>
        <v>45816</v>
      </c>
      <c r="C5" s="60">
        <v>45817</v>
      </c>
      <c r="D5" s="60">
        <v>45818</v>
      </c>
      <c r="E5" s="60">
        <v>45819</v>
      </c>
      <c r="F5" s="60">
        <v>45820</v>
      </c>
      <c r="G5" s="60">
        <v>45821</v>
      </c>
      <c r="H5" s="60">
        <v>45822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요일및주+DATE(달력연도,6,1)-WEEKDAY(DATE(달력연도,6,1),(주시작="월요일")+1)+15</f>
        <v>45823</v>
      </c>
      <c r="C7" s="61">
        <v>45824</v>
      </c>
      <c r="D7" s="61">
        <v>45825</v>
      </c>
      <c r="E7" s="61">
        <v>45826</v>
      </c>
      <c r="F7" s="61">
        <v>45827</v>
      </c>
      <c r="G7" s="61">
        <v>45828</v>
      </c>
      <c r="H7" s="61">
        <v>45829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요일및주+DATE(달력연도,6,1)-WEEKDAY(DATE(달력연도,6,1),(주시작="월요일")+1)+22</f>
        <v>45830</v>
      </c>
      <c r="C9" s="60">
        <v>45831</v>
      </c>
      <c r="D9" s="60">
        <v>45832</v>
      </c>
      <c r="E9" s="60">
        <v>45833</v>
      </c>
      <c r="F9" s="60">
        <v>45834</v>
      </c>
      <c r="G9" s="60">
        <v>45835</v>
      </c>
      <c r="H9" s="60">
        <v>45836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요일및주+DATE(달력연도,6,1)-WEEKDAY(DATE(달력연도,6,1),(주시작="월요일")+1)+29</f>
        <v>45837</v>
      </c>
      <c r="C11" s="61">
        <v>45838</v>
      </c>
      <c r="D11" s="61">
        <v>45839</v>
      </c>
      <c r="E11" s="61">
        <v>45840</v>
      </c>
      <c r="F11" s="61">
        <v>45841</v>
      </c>
      <c r="G11" s="61">
        <v>45842</v>
      </c>
      <c r="H11" s="61">
        <v>45843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요일및주+DATE(달력연도,6,1)-WEEKDAY(DATE(달력연도,6,1),(주시작="월요일")+1)+36</f>
        <v>45844</v>
      </c>
      <c r="C13" s="60">
        <v>45845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20" priority="1">
      <formula>AND(DAY(B13)&gt;=1,DAY(B13)&lt;=15)</formula>
    </cfRule>
  </conditionalFormatting>
  <conditionalFormatting sqref="B3:G3">
    <cfRule type="expression" dxfId="19" priority="3">
      <formula>DAY(B3)&gt;8</formula>
    </cfRule>
  </conditionalFormatting>
  <conditionalFormatting sqref="B11:H11">
    <cfRule type="expression" dxfId="18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5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5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5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500-000003000000}"/>
    <dataValidation allowBlank="1" showInputMessage="1" showErrorMessage="1" prompt="6월 달력" sqref="A1" xr:uid="{00000000-0002-0000-0500-000005000000}"/>
    <dataValidation allowBlank="1" showInputMessage="1" showErrorMessage="1" prompt="오른쪽 셀에 메모를 입력합니다." sqref="D13:D14" xr:uid="{00000000-0002-0000-0500-000006000000}"/>
    <dataValidation allowBlank="1" showInputMessage="1" showErrorMessage="1" prompt="이 셀에 메모를 입력합니다." sqref="E13:H14" xr:uid="{00000000-0002-0000-0500-000007000000}"/>
    <dataValidation allowBlank="1" showInputMessage="1" showErrorMessage="1" prompt="이 행과 6, 8, 10, 12, 14 행은 위의 셀에 있는 날짜와 관련된 일별 메모를 입력하는 셀입니다" sqref="B4" xr:uid="{00000000-0002-0000-0500-000008000000}"/>
    <dataValidation allowBlank="1" showInputMessage="1" showErrorMessage="1" prompt="이 셀의 연도는 자동으로 업데이트됩니다. 연도를 변경하려면 1월 워크시트의 K3 셀에서 다른 연도를 선택하세요" sqref="C1" xr:uid="{3B5EBA9E-6F2A-4A06-88F5-C22A25660616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27" t="str">
        <f>달력연도&amp;"년"&amp;" 7월"</f>
        <v>2025년 7월</v>
      </c>
      <c r="C1" s="28"/>
      <c r="D1" s="28"/>
      <c r="E1" s="29"/>
      <c r="F1" s="29"/>
      <c r="G1" s="29"/>
      <c r="H1" s="30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요일및주+DATE(달력연도,7,1)-WEEKDAY(DATE(달력연도,7,1),(주시작="월요일")+1)+1</f>
        <v>45837</v>
      </c>
      <c r="C3" s="61">
        <v>45838</v>
      </c>
      <c r="D3" s="61">
        <v>45839</v>
      </c>
      <c r="E3" s="61">
        <v>45840</v>
      </c>
      <c r="F3" s="61">
        <v>45841</v>
      </c>
      <c r="G3" s="61">
        <v>45842</v>
      </c>
      <c r="H3" s="61">
        <v>45843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요일및주+DATE(달력연도,7,1)-WEEKDAY(DATE(달력연도,7,1),(주시작="월요일")+1)+8</f>
        <v>45844</v>
      </c>
      <c r="C5" s="60">
        <v>45845</v>
      </c>
      <c r="D5" s="60">
        <v>45846</v>
      </c>
      <c r="E5" s="60">
        <v>45847</v>
      </c>
      <c r="F5" s="60">
        <v>45848</v>
      </c>
      <c r="G5" s="60">
        <v>45849</v>
      </c>
      <c r="H5" s="60">
        <v>45850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요일및주+DATE(달력연도,7,1)-WEEKDAY(DATE(달력연도,7,1),(주시작="월요일")+1)+15</f>
        <v>45851</v>
      </c>
      <c r="C7" s="61">
        <v>45852</v>
      </c>
      <c r="D7" s="61">
        <v>45853</v>
      </c>
      <c r="E7" s="61">
        <v>45854</v>
      </c>
      <c r="F7" s="61">
        <v>45855</v>
      </c>
      <c r="G7" s="61">
        <v>45856</v>
      </c>
      <c r="H7" s="61">
        <v>45857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요일및주+DATE(달력연도,7,1)-WEEKDAY(DATE(달력연도,7,1),(주시작="월요일")+1)+22</f>
        <v>45858</v>
      </c>
      <c r="C9" s="60">
        <v>45859</v>
      </c>
      <c r="D9" s="60">
        <v>45860</v>
      </c>
      <c r="E9" s="60">
        <v>45861</v>
      </c>
      <c r="F9" s="60">
        <v>45862</v>
      </c>
      <c r="G9" s="60">
        <v>45863</v>
      </c>
      <c r="H9" s="60">
        <v>45864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요일및주+DATE(달력연도,7,1)-WEEKDAY(DATE(달력연도,7,1),(주시작="월요일")+1)+29</f>
        <v>45865</v>
      </c>
      <c r="C11" s="61">
        <v>45866</v>
      </c>
      <c r="D11" s="61">
        <v>45867</v>
      </c>
      <c r="E11" s="61">
        <v>45868</v>
      </c>
      <c r="F11" s="61">
        <v>45869</v>
      </c>
      <c r="G11" s="61">
        <v>45870</v>
      </c>
      <c r="H11" s="61">
        <v>45871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요일및주+DATE(달력연도,7,1)-WEEKDAY(DATE(달력연도,7,1),(주시작="월요일")+1)+36</f>
        <v>45872</v>
      </c>
      <c r="C13" s="60">
        <v>45873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dataConsolidate/>
  <mergeCells count="1">
    <mergeCell ref="E13:H14"/>
  </mergeCells>
  <phoneticPr fontId="27" type="noConversion"/>
  <conditionalFormatting sqref="B13:D13">
    <cfRule type="expression" dxfId="17" priority="1">
      <formula>AND(DAY(B13)&gt;=1,DAY(B13)&lt;=15)</formula>
    </cfRule>
  </conditionalFormatting>
  <conditionalFormatting sqref="B3:G3">
    <cfRule type="expression" dxfId="16" priority="3">
      <formula>DAY(B3)&gt;8</formula>
    </cfRule>
  </conditionalFormatting>
  <conditionalFormatting sqref="B11:H11">
    <cfRule type="expression" dxfId="15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6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6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6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600-000003000000}"/>
    <dataValidation allowBlank="1" showInputMessage="1" showErrorMessage="1" prompt="이 셀의 연도는 자동으로 업데이트됩니다. 연도를 변경하려면 1월 워크시트의 K3 셀에서 다른 연도를 선택하세요" sqref="C1" xr:uid="{00000000-0002-0000-0600-000004000000}"/>
    <dataValidation allowBlank="1" showInputMessage="1" showErrorMessage="1" prompt="7월 달력" sqref="A1" xr:uid="{00000000-0002-0000-0600-000005000000}"/>
    <dataValidation allowBlank="1" showInputMessage="1" showErrorMessage="1" prompt="오른쪽 셀에 메모를 입력합니다." sqref="D13:D14" xr:uid="{00000000-0002-0000-0600-000006000000}"/>
    <dataValidation allowBlank="1" showInputMessage="1" showErrorMessage="1" prompt="이 셀에 메모를 입력합니다." sqref="E13:H14" xr:uid="{00000000-0002-0000-0600-000007000000}"/>
    <dataValidation allowBlank="1" showInputMessage="1" showErrorMessage="1" prompt="이 행과 6, 8, 10, 12, 14 행은 위의 셀에 있는 날짜와 관련된 일별 메모를 입력하는 셀입니다." sqref="B4" xr:uid="{00000000-0002-0000-0600-000008000000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8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31" t="str">
        <f>달력연도&amp;"년"&amp;" 8월"</f>
        <v>2025년 8월</v>
      </c>
      <c r="C1" s="32"/>
      <c r="D1" s="32"/>
      <c r="E1" s="33"/>
      <c r="F1" s="33"/>
      <c r="G1" s="33"/>
      <c r="H1" s="34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요일및주+DATE(달력연도,8,1)-WEEKDAY(DATE(달력연도,8,1),(주시작="월요일")+1)+1</f>
        <v>45865</v>
      </c>
      <c r="C3" s="61">
        <v>45866</v>
      </c>
      <c r="D3" s="61">
        <v>45867</v>
      </c>
      <c r="E3" s="61">
        <v>45868</v>
      </c>
      <c r="F3" s="61">
        <v>45869</v>
      </c>
      <c r="G3" s="61">
        <v>45870</v>
      </c>
      <c r="H3" s="61">
        <v>45871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요일및주+DATE(달력연도,8,1)-WEEKDAY(DATE(달력연도,8,1),(주시작="월요일")+1)+8</f>
        <v>45872</v>
      </c>
      <c r="C5" s="60">
        <v>45873</v>
      </c>
      <c r="D5" s="60">
        <v>45874</v>
      </c>
      <c r="E5" s="60">
        <v>45875</v>
      </c>
      <c r="F5" s="60">
        <v>45876</v>
      </c>
      <c r="G5" s="60">
        <v>45877</v>
      </c>
      <c r="H5" s="60">
        <v>45878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요일및주+DATE(달력연도,8,1)-WEEKDAY(DATE(달력연도,8,1),(주시작="월요일")+1)+15</f>
        <v>45879</v>
      </c>
      <c r="C7" s="61">
        <v>45880</v>
      </c>
      <c r="D7" s="61">
        <v>45881</v>
      </c>
      <c r="E7" s="61">
        <v>45882</v>
      </c>
      <c r="F7" s="61">
        <v>45883</v>
      </c>
      <c r="G7" s="61">
        <v>45884</v>
      </c>
      <c r="H7" s="61">
        <v>45885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요일및주+DATE(달력연도,8,1)-WEEKDAY(DATE(달력연도,8,1),(주시작="월요일")+1)+22</f>
        <v>45886</v>
      </c>
      <c r="C9" s="60">
        <v>45887</v>
      </c>
      <c r="D9" s="60">
        <v>45888</v>
      </c>
      <c r="E9" s="60">
        <v>45889</v>
      </c>
      <c r="F9" s="60">
        <v>45890</v>
      </c>
      <c r="G9" s="60">
        <v>45891</v>
      </c>
      <c r="H9" s="60">
        <v>45892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요일및주+DATE(달력연도,8,1)-WEEKDAY(DATE(달력연도,8,1),(주시작="월요일")+1)+29</f>
        <v>45893</v>
      </c>
      <c r="C11" s="61">
        <v>45894</v>
      </c>
      <c r="D11" s="61">
        <v>45895</v>
      </c>
      <c r="E11" s="61">
        <v>45896</v>
      </c>
      <c r="F11" s="61">
        <v>45897</v>
      </c>
      <c r="G11" s="61">
        <v>45898</v>
      </c>
      <c r="H11" s="61">
        <v>45899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요일및주+DATE(달력연도,8,1)-WEEKDAY(DATE(달력연도,8,1),(주시작="월요일")+1)+36</f>
        <v>45900</v>
      </c>
      <c r="C13" s="60">
        <v>45901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14" priority="1">
      <formula>AND(DAY(B13)&gt;=1,DAY(B13)&lt;=15)</formula>
    </cfRule>
  </conditionalFormatting>
  <conditionalFormatting sqref="B3:G3">
    <cfRule type="expression" dxfId="13" priority="3">
      <formula>DAY(B3)&gt;8</formula>
    </cfRule>
  </conditionalFormatting>
  <conditionalFormatting sqref="B11:H11">
    <cfRule type="expression" dxfId="12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7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7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7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700-000003000000}"/>
    <dataValidation allowBlank="1" showInputMessage="1" showErrorMessage="1" prompt="8월 달력" sqref="A1" xr:uid="{00000000-0002-0000-0700-000005000000}"/>
    <dataValidation allowBlank="1" showInputMessage="1" showErrorMessage="1" prompt="오른쪽 셀에 메모를 입력합니다." sqref="D13:D14" xr:uid="{00000000-0002-0000-0700-000006000000}"/>
    <dataValidation allowBlank="1" showInputMessage="1" showErrorMessage="1" prompt="이 셀에 메모를 입력합니다." sqref="E13:H14" xr:uid="{00000000-0002-0000-0700-000007000000}"/>
    <dataValidation allowBlank="1" showInputMessage="1" showErrorMessage="1" prompt="이 행과 6, 8, 10, 12, 14 행은 위의 셀에 있는 날짜와 관련된 일별 메모를 입력하는 셀입니다" sqref="B4" xr:uid="{00000000-0002-0000-0700-000008000000}"/>
    <dataValidation allowBlank="1" showInputMessage="1" showErrorMessage="1" prompt="이 셀의 연도는 자동으로 업데이트됩니다. 연도를 변경하려면 1월 워크시트의 K3 셀에서 다른 연도를 선택하세요" sqref="C1" xr:uid="{66CA7BBB-AB5C-45C6-8652-E95B2C7872CF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8" tint="-0.249977111117893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0" width="12" style="65" customWidth="1"/>
    <col min="11" max="16384" width="8.69921875" style="65"/>
  </cols>
  <sheetData>
    <row r="1" spans="2:8" customFormat="1" ht="59.25" customHeight="1">
      <c r="B1" s="35" t="str">
        <f>달력연도&amp;"년"&amp;" 9월"</f>
        <v>2025년 9월</v>
      </c>
      <c r="C1" s="36"/>
      <c r="D1" s="36"/>
      <c r="E1" s="37"/>
      <c r="F1" s="37"/>
      <c r="G1" s="37"/>
      <c r="H1" s="38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요일및주+DATE(달력연도,9,1)-WEEKDAY(DATE(달력연도,9,1),(주시작="월요일")+1)+1</f>
        <v>45900</v>
      </c>
      <c r="C3" s="61">
        <v>45901</v>
      </c>
      <c r="D3" s="61">
        <v>45902</v>
      </c>
      <c r="E3" s="61">
        <v>45903</v>
      </c>
      <c r="F3" s="61">
        <v>45904</v>
      </c>
      <c r="G3" s="61">
        <v>45905</v>
      </c>
      <c r="H3" s="61">
        <v>45906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요일및주+DATE(달력연도,9,1)-WEEKDAY(DATE(달력연도,9,1),(주시작="월요일")+1)+8</f>
        <v>45907</v>
      </c>
      <c r="C5" s="60">
        <v>45908</v>
      </c>
      <c r="D5" s="60">
        <v>45909</v>
      </c>
      <c r="E5" s="60">
        <v>45910</v>
      </c>
      <c r="F5" s="60">
        <v>45911</v>
      </c>
      <c r="G5" s="60">
        <v>45912</v>
      </c>
      <c r="H5" s="60">
        <v>45913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요일및주+DATE(달력연도,9,1)-WEEKDAY(DATE(달력연도,9,1),(주시작="월요일")+1)+15</f>
        <v>45914</v>
      </c>
      <c r="C7" s="61">
        <v>45915</v>
      </c>
      <c r="D7" s="61">
        <v>45916</v>
      </c>
      <c r="E7" s="61">
        <v>45917</v>
      </c>
      <c r="F7" s="61">
        <v>45918</v>
      </c>
      <c r="G7" s="61">
        <v>45919</v>
      </c>
      <c r="H7" s="61">
        <v>45920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요일및주+DATE(달력연도,9,1)-WEEKDAY(DATE(달력연도,9,1),(주시작="월요일")+1)+22</f>
        <v>45921</v>
      </c>
      <c r="C9" s="60">
        <v>45922</v>
      </c>
      <c r="D9" s="60">
        <v>45923</v>
      </c>
      <c r="E9" s="60">
        <v>45924</v>
      </c>
      <c r="F9" s="60">
        <v>45925</v>
      </c>
      <c r="G9" s="60">
        <v>45926</v>
      </c>
      <c r="H9" s="60">
        <v>45927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요일및주+DATE(달력연도,9,1)-WEEKDAY(DATE(달력연도,9,1),(주시작="월요일")+1)+29</f>
        <v>45928</v>
      </c>
      <c r="C11" s="61">
        <v>45929</v>
      </c>
      <c r="D11" s="61">
        <v>45930</v>
      </c>
      <c r="E11" s="61">
        <v>45931</v>
      </c>
      <c r="F11" s="61">
        <v>45932</v>
      </c>
      <c r="G11" s="61">
        <v>45933</v>
      </c>
      <c r="H11" s="61">
        <v>45934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요일및주+DATE(달력연도,9,1)-WEEKDAY(DATE(달력연도,9,1),(주시작="월요일")+1)+36</f>
        <v>45935</v>
      </c>
      <c r="C13" s="60">
        <v>45936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11" priority="1">
      <formula>AND(DAY(B13)&gt;=1,DAY(B13)&lt;=15)</formula>
    </cfRule>
  </conditionalFormatting>
  <conditionalFormatting sqref="B3:G3">
    <cfRule type="expression" dxfId="10" priority="3">
      <formula>DAY(B3)&gt;8</formula>
    </cfRule>
  </conditionalFormatting>
  <conditionalFormatting sqref="B11:H11">
    <cfRule type="expression" dxfId="9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8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8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8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800-000003000000}"/>
    <dataValidation allowBlank="1" showInputMessage="1" showErrorMessage="1" prompt="9월 달력" sqref="A1" xr:uid="{00000000-0002-0000-0800-000005000000}"/>
    <dataValidation allowBlank="1" showInputMessage="1" showErrorMessage="1" prompt="오른쪽 셀에 메모를 입력합니다." sqref="D13:D14" xr:uid="{00000000-0002-0000-0800-000006000000}"/>
    <dataValidation allowBlank="1" showInputMessage="1" showErrorMessage="1" prompt="이 셀에 메모를 입력합니다." sqref="E13:H14" xr:uid="{00000000-0002-0000-0800-000007000000}"/>
    <dataValidation allowBlank="1" showInputMessage="1" showErrorMessage="1" prompt="이 행과 6, 8, 10, 12, 14 행은 위의 셀에 있는 날짜와 관련된 일별 메모를 입력하는 셀입니다" sqref="B4" xr:uid="{00000000-0002-0000-0800-000008000000}"/>
    <dataValidation allowBlank="1" showInputMessage="1" showErrorMessage="1" prompt="이 셀의 연도는 자동으로 업데이트됩니다. 연도를 변경하려면 1월 워크시트의 K3 셀에서 다른 연도를 선택하세요" sqref="C1" xr:uid="{4435369A-E4BA-4CCE-AFA8-841FBD5E4294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-0.249977111117893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6384" width="8.69921875" style="65"/>
  </cols>
  <sheetData>
    <row r="1" spans="2:8" customFormat="1" ht="59.25" customHeight="1">
      <c r="B1" s="58" t="str">
        <f>달력연도&amp;"년"&amp;" 10월"</f>
        <v>2025년 10월</v>
      </c>
      <c r="C1" s="42"/>
      <c r="D1" s="42"/>
      <c r="E1" s="43"/>
      <c r="F1" s="43"/>
      <c r="G1" s="43"/>
      <c r="H1" s="44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요일및주+DATE(달력연도,10,1)-WEEKDAY(DATE(달력연도,10,1),(주시작="월요일")+1)+1</f>
        <v>45928</v>
      </c>
      <c r="C3" s="61">
        <v>45929</v>
      </c>
      <c r="D3" s="61">
        <v>45930</v>
      </c>
      <c r="E3" s="61">
        <v>45931</v>
      </c>
      <c r="F3" s="61">
        <v>45932</v>
      </c>
      <c r="G3" s="61">
        <v>45933</v>
      </c>
      <c r="H3" s="61">
        <v>45934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요일및주+DATE(달력연도,10,1)-WEEKDAY(DATE(달력연도,10,1),(주시작="월요일")+1)+8</f>
        <v>45935</v>
      </c>
      <c r="C5" s="60">
        <v>45936</v>
      </c>
      <c r="D5" s="60">
        <v>45937</v>
      </c>
      <c r="E5" s="60">
        <v>45938</v>
      </c>
      <c r="F5" s="60">
        <v>45939</v>
      </c>
      <c r="G5" s="60">
        <v>45940</v>
      </c>
      <c r="H5" s="60">
        <v>45941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요일및주+DATE(달력연도,10,1)-WEEKDAY(DATE(달력연도,10,1),(주시작="월요일")+1)+15</f>
        <v>45942</v>
      </c>
      <c r="C7" s="61">
        <v>45943</v>
      </c>
      <c r="D7" s="61">
        <v>45944</v>
      </c>
      <c r="E7" s="61">
        <v>45945</v>
      </c>
      <c r="F7" s="61">
        <v>45946</v>
      </c>
      <c r="G7" s="61">
        <v>45947</v>
      </c>
      <c r="H7" s="61">
        <v>45948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요일및주+DATE(달력연도,10,1)-WEEKDAY(DATE(달력연도,10,1),(주시작="월요일")+1)+22</f>
        <v>45949</v>
      </c>
      <c r="C9" s="60">
        <v>45950</v>
      </c>
      <c r="D9" s="60">
        <v>45951</v>
      </c>
      <c r="E9" s="60">
        <v>45952</v>
      </c>
      <c r="F9" s="60">
        <v>45953</v>
      </c>
      <c r="G9" s="60">
        <v>45954</v>
      </c>
      <c r="H9" s="60">
        <v>45955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요일및주+DATE(달력연도,10,1)-WEEKDAY(DATE(달력연도,10,1),(주시작="월요일")+1)+29</f>
        <v>45956</v>
      </c>
      <c r="C11" s="61">
        <v>45957</v>
      </c>
      <c r="D11" s="61">
        <v>45958</v>
      </c>
      <c r="E11" s="61">
        <v>45959</v>
      </c>
      <c r="F11" s="61">
        <v>45960</v>
      </c>
      <c r="G11" s="61">
        <v>45961</v>
      </c>
      <c r="H11" s="61">
        <v>45962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요일및주+DATE(달력연도,10,1)-WEEKDAY(DATE(달력연도,10,1),(주시작="월요일")+1)+36</f>
        <v>45963</v>
      </c>
      <c r="C13" s="60">
        <v>45964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8" priority="1">
      <formula>AND(DAY(B13)&gt;=1,DAY(B13)&lt;=15)</formula>
    </cfRule>
  </conditionalFormatting>
  <conditionalFormatting sqref="B3:G3">
    <cfRule type="expression" dxfId="7" priority="3">
      <formula>DAY(B3)&gt;8</formula>
    </cfRule>
  </conditionalFormatting>
  <conditionalFormatting sqref="B11:H11">
    <cfRule type="expression" dxfId="6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9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9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9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900-000003000000}"/>
    <dataValidation allowBlank="1" showInputMessage="1" showErrorMessage="1" prompt="10월 달력" sqref="A1" xr:uid="{00000000-0002-0000-0900-000005000000}"/>
    <dataValidation allowBlank="1" showInputMessage="1" showErrorMessage="1" prompt="오른쪽 셀에 메모를 입력합니다." sqref="D13:D14" xr:uid="{00000000-0002-0000-0900-000006000000}"/>
    <dataValidation allowBlank="1" showInputMessage="1" showErrorMessage="1" prompt="이 셀에 메모를 입력합니다." sqref="E13:H14" xr:uid="{00000000-0002-0000-0900-000007000000}"/>
    <dataValidation allowBlank="1" showInputMessage="1" showErrorMessage="1" prompt="이 행과 6, 8, 10, 12, 14 행은 위의 셀에 있는 날짜와 관련된 일별 메모를 입력하는 셀입니다" sqref="B4" xr:uid="{00000000-0002-0000-0900-000008000000}"/>
    <dataValidation allowBlank="1" showInputMessage="1" showErrorMessage="1" prompt="이 셀의 연도는 자동으로 업데이트됩니다. 연도를 변경하려면 1월 워크시트의 K3 셀에서 다른 연도를 선택하세요" sqref="C1" xr:uid="{873421E6-8E6D-4E29-8E27-EC2434AD0373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6384" width="8.69921875" style="65"/>
  </cols>
  <sheetData>
    <row r="1" spans="2:8" customFormat="1" ht="59.25" customHeight="1">
      <c r="B1" s="59" t="str">
        <f>달력연도&amp;"년"&amp;" 11월"</f>
        <v>2025년 11월</v>
      </c>
      <c r="C1" s="39"/>
      <c r="D1" s="39"/>
      <c r="E1" s="40"/>
      <c r="F1" s="40"/>
      <c r="G1" s="40"/>
      <c r="H1" s="41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요일및주+DATE(달력연도,11,1)-WEEKDAY(DATE(달력연도,11,1),(주시작="월요일")+1)+1</f>
        <v>45956</v>
      </c>
      <c r="C3" s="61">
        <v>45957</v>
      </c>
      <c r="D3" s="61">
        <v>45958</v>
      </c>
      <c r="E3" s="61">
        <v>45959</v>
      </c>
      <c r="F3" s="61">
        <v>45960</v>
      </c>
      <c r="G3" s="61">
        <v>45961</v>
      </c>
      <c r="H3" s="61">
        <v>45962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요일및주+DATE(달력연도,11,1)-WEEKDAY(DATE(달력연도,11,1),(주시작="월요일")+1)+8</f>
        <v>45963</v>
      </c>
      <c r="C5" s="60">
        <v>45964</v>
      </c>
      <c r="D5" s="60">
        <v>45965</v>
      </c>
      <c r="E5" s="60">
        <v>45966</v>
      </c>
      <c r="F5" s="60">
        <v>45967</v>
      </c>
      <c r="G5" s="60">
        <v>45968</v>
      </c>
      <c r="H5" s="60">
        <v>45969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요일및주+DATE(달력연도,11,1)-WEEKDAY(DATE(달력연도,11,1),(주시작="월요일")+1)+15</f>
        <v>45970</v>
      </c>
      <c r="C7" s="61">
        <v>45971</v>
      </c>
      <c r="D7" s="61">
        <v>45972</v>
      </c>
      <c r="E7" s="61">
        <v>45973</v>
      </c>
      <c r="F7" s="61">
        <v>45974</v>
      </c>
      <c r="G7" s="61">
        <v>45975</v>
      </c>
      <c r="H7" s="61">
        <v>45976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요일및주+DATE(달력연도,11,1)-WEEKDAY(DATE(달력연도,11,1),(주시작="월요일")+1)+22</f>
        <v>45977</v>
      </c>
      <c r="C9" s="60">
        <v>45978</v>
      </c>
      <c r="D9" s="60">
        <v>45979</v>
      </c>
      <c r="E9" s="60">
        <v>45980</v>
      </c>
      <c r="F9" s="60">
        <v>45981</v>
      </c>
      <c r="G9" s="60">
        <v>45982</v>
      </c>
      <c r="H9" s="60">
        <v>45983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요일및주+DATE(달력연도,11,1)-WEEKDAY(DATE(달력연도,11,1),(주시작="월요일")+1)+29</f>
        <v>45984</v>
      </c>
      <c r="C11" s="61">
        <v>45985</v>
      </c>
      <c r="D11" s="61">
        <v>45986</v>
      </c>
      <c r="E11" s="61">
        <v>45987</v>
      </c>
      <c r="F11" s="61">
        <v>45988</v>
      </c>
      <c r="G11" s="61">
        <v>45989</v>
      </c>
      <c r="H11" s="61">
        <v>45990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요일및주+DATE(달력연도,11,1)-WEEKDAY(DATE(달력연도,11,1),(주시작="월요일")+1)+36</f>
        <v>45991</v>
      </c>
      <c r="C13" s="60">
        <v>45992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5" priority="1">
      <formula>AND(DAY(B13)&gt;=1,DAY(B13)&lt;=15)</formula>
    </cfRule>
  </conditionalFormatting>
  <conditionalFormatting sqref="B3:G3">
    <cfRule type="expression" dxfId="4" priority="4">
      <formula>DAY(B3)&gt;8</formula>
    </cfRule>
  </conditionalFormatting>
  <conditionalFormatting sqref="B11:H11">
    <cfRule type="expression" dxfId="3" priority="5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A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A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A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A00-000003000000}"/>
    <dataValidation allowBlank="1" showInputMessage="1" showErrorMessage="1" prompt="11월 달력" sqref="A1" xr:uid="{00000000-0002-0000-0A00-000005000000}"/>
    <dataValidation allowBlank="1" showInputMessage="1" showErrorMessage="1" prompt="오른쪽 셀에 메모를 입력합니다." sqref="D13:D14" xr:uid="{00000000-0002-0000-0A00-000006000000}"/>
    <dataValidation allowBlank="1" showInputMessage="1" showErrorMessage="1" prompt="이 셀에 메모를 입력합니다." sqref="E13:H14" xr:uid="{00000000-0002-0000-0A00-000007000000}"/>
    <dataValidation allowBlank="1" showInputMessage="1" showErrorMessage="1" prompt="이 행과 6, 8, 10, 12, 14 행은 위의 셀에 있는 날짜와 관련된 일별 메모를 입력하는 셀입니다" sqref="B4" xr:uid="{00000000-0002-0000-0A00-000008000000}"/>
    <dataValidation allowBlank="1" showInputMessage="1" showErrorMessage="1" prompt="이 셀의 연도는 자동으로 업데이트됩니다. 연도를 변경하려면 1월 워크시트의 K3 셀에서 다른 연도를 선택하세요" sqref="C1" xr:uid="{3A4E290F-6134-4539-A45D-9C6B0C71CC5F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6" tint="-0.249977111117893"/>
    <pageSetUpPr fitToPage="1"/>
  </sheetPr>
  <dimension ref="A1:H14"/>
  <sheetViews>
    <sheetView showGridLines="0" zoomScale="90" zoomScaleNormal="90" workbookViewId="0"/>
  </sheetViews>
  <sheetFormatPr defaultColWidth="8.69921875" defaultRowHeight="17.399999999999999"/>
  <cols>
    <col min="1" max="1" width="2.59765625" customWidth="1"/>
    <col min="2" max="2" width="18.19921875" customWidth="1"/>
    <col min="3" max="8" width="17.59765625" customWidth="1"/>
    <col min="9" max="9" width="2.59765625" style="65" customWidth="1"/>
    <col min="10" max="16384" width="8.69921875" style="65"/>
  </cols>
  <sheetData>
    <row r="1" spans="2:8" customFormat="1" ht="59.25" customHeight="1">
      <c r="B1" s="45" t="str">
        <f>달력연도&amp;"년"&amp;" 12월"</f>
        <v>2025년 12월</v>
      </c>
      <c r="C1" s="46"/>
      <c r="D1" s="46"/>
      <c r="E1" s="47"/>
      <c r="F1" s="47"/>
      <c r="G1" s="47"/>
      <c r="H1" s="48"/>
    </row>
    <row r="2" spans="2:8" ht="21.75" customHeight="1">
      <c r="B2" s="4" t="str">
        <f>IF(주시작="일요일", "일요일","월요일")</f>
        <v>일요일</v>
      </c>
      <c r="C2" s="4" t="str">
        <f t="shared" ref="C2:H2" si="0">UPPER(TEXT(C3,"aaaa"))</f>
        <v>월요일</v>
      </c>
      <c r="D2" s="4" t="str">
        <f t="shared" si="0"/>
        <v>화요일</v>
      </c>
      <c r="E2" s="4" t="str">
        <f t="shared" si="0"/>
        <v>수요일</v>
      </c>
      <c r="F2" s="4" t="str">
        <f t="shared" si="0"/>
        <v>목요일</v>
      </c>
      <c r="G2" s="4" t="str">
        <f t="shared" si="0"/>
        <v>금요일</v>
      </c>
      <c r="H2" s="4" t="str">
        <f t="shared" si="0"/>
        <v>토요일</v>
      </c>
    </row>
    <row r="3" spans="2:8" ht="19.5" customHeight="1">
      <c r="B3" s="61">
        <f t="array" ref="B3:H3">요일및주+DATE(달력연도,12,1)-WEEKDAY(DATE(달력연도,12,1),(주시작="월요일")+1)+1</f>
        <v>45991</v>
      </c>
      <c r="C3" s="61">
        <v>45992</v>
      </c>
      <c r="D3" s="61">
        <v>45993</v>
      </c>
      <c r="E3" s="61">
        <v>45994</v>
      </c>
      <c r="F3" s="61">
        <v>45995</v>
      </c>
      <c r="G3" s="61">
        <v>45996</v>
      </c>
      <c r="H3" s="61">
        <v>45997</v>
      </c>
    </row>
    <row r="4" spans="2:8" ht="57.9" customHeight="1">
      <c r="B4" s="61"/>
      <c r="C4" s="61"/>
      <c r="D4" s="61"/>
      <c r="E4" s="61"/>
      <c r="F4" s="61"/>
      <c r="G4" s="61"/>
      <c r="H4" s="61"/>
    </row>
    <row r="5" spans="2:8" ht="19.5" customHeight="1">
      <c r="B5" s="60">
        <f t="array" ref="B5:H5">요일및주+DATE(달력연도,12,1)-WEEKDAY(DATE(달력연도,12,1),(주시작="월요일")+1)+8</f>
        <v>45998</v>
      </c>
      <c r="C5" s="60">
        <v>45999</v>
      </c>
      <c r="D5" s="60">
        <v>46000</v>
      </c>
      <c r="E5" s="60">
        <v>46001</v>
      </c>
      <c r="F5" s="60">
        <v>46002</v>
      </c>
      <c r="G5" s="60">
        <v>46003</v>
      </c>
      <c r="H5" s="60">
        <v>46004</v>
      </c>
    </row>
    <row r="6" spans="2:8" ht="57.9" customHeight="1">
      <c r="B6" s="60"/>
      <c r="C6" s="60"/>
      <c r="D6" s="60"/>
      <c r="E6" s="60"/>
      <c r="F6" s="60"/>
      <c r="G6" s="60"/>
      <c r="H6" s="60"/>
    </row>
    <row r="7" spans="2:8" ht="19.5" customHeight="1">
      <c r="B7" s="61">
        <f t="array" ref="B7:H7">요일및주+DATE(달력연도,12,1)-WEEKDAY(DATE(달력연도,12,1),(주시작="월요일")+1)+15</f>
        <v>46005</v>
      </c>
      <c r="C7" s="61">
        <v>46006</v>
      </c>
      <c r="D7" s="61">
        <v>46007</v>
      </c>
      <c r="E7" s="61">
        <v>46008</v>
      </c>
      <c r="F7" s="61">
        <v>46009</v>
      </c>
      <c r="G7" s="61">
        <v>46010</v>
      </c>
      <c r="H7" s="61">
        <v>46011</v>
      </c>
    </row>
    <row r="8" spans="2:8" ht="57.9" customHeight="1">
      <c r="B8" s="61"/>
      <c r="C8" s="61"/>
      <c r="D8" s="61"/>
      <c r="E8" s="61"/>
      <c r="F8" s="61"/>
      <c r="G8" s="61"/>
      <c r="H8" s="61"/>
    </row>
    <row r="9" spans="2:8" ht="19.5" customHeight="1">
      <c r="B9" s="60">
        <f t="array" ref="B9:H9">요일및주+DATE(달력연도,12,1)-WEEKDAY(DATE(달력연도,12,1),(주시작="월요일")+1)+22</f>
        <v>46012</v>
      </c>
      <c r="C9" s="60">
        <v>46013</v>
      </c>
      <c r="D9" s="60">
        <v>46014</v>
      </c>
      <c r="E9" s="60">
        <v>46015</v>
      </c>
      <c r="F9" s="60">
        <v>46016</v>
      </c>
      <c r="G9" s="60">
        <v>46017</v>
      </c>
      <c r="H9" s="60">
        <v>46018</v>
      </c>
    </row>
    <row r="10" spans="2:8" ht="57.9" customHeight="1">
      <c r="B10" s="60"/>
      <c r="C10" s="60"/>
      <c r="D10" s="60"/>
      <c r="E10" s="60"/>
      <c r="F10" s="60"/>
      <c r="G10" s="60"/>
      <c r="H10" s="60"/>
    </row>
    <row r="11" spans="2:8" ht="19.5" customHeight="1">
      <c r="B11" s="61">
        <f t="array" ref="B11:H11">요일및주+DATE(달력연도,12,1)-WEEKDAY(DATE(달력연도,12,1),(주시작="월요일")+1)+29</f>
        <v>46019</v>
      </c>
      <c r="C11" s="61">
        <v>46020</v>
      </c>
      <c r="D11" s="61">
        <v>46021</v>
      </c>
      <c r="E11" s="61">
        <v>46022</v>
      </c>
      <c r="F11" s="61">
        <v>46023</v>
      </c>
      <c r="G11" s="61">
        <v>46024</v>
      </c>
      <c r="H11" s="61">
        <v>46025</v>
      </c>
    </row>
    <row r="12" spans="2:8" ht="57.9" customHeight="1">
      <c r="B12" s="61"/>
      <c r="C12" s="61"/>
      <c r="D12" s="61"/>
      <c r="E12" s="61"/>
      <c r="F12" s="61"/>
      <c r="G12" s="61"/>
      <c r="H12" s="61"/>
    </row>
    <row r="13" spans="2:8" ht="19.5" customHeight="1">
      <c r="B13" s="60">
        <f t="array" ref="B13:C13">요일및주+DATE(달력연도,12,1)-WEEKDAY(DATE(달력연도,12,1),(주시작="월요일")+1)+36</f>
        <v>46026</v>
      </c>
      <c r="C13" s="60">
        <v>46027</v>
      </c>
      <c r="D13" s="62" t="s">
        <v>0</v>
      </c>
      <c r="E13" s="66"/>
      <c r="F13" s="66"/>
      <c r="G13" s="66"/>
      <c r="H13" s="67"/>
    </row>
    <row r="14" spans="2:8" ht="57.9" customHeight="1">
      <c r="B14" s="60"/>
      <c r="C14" s="60"/>
      <c r="D14" s="5"/>
      <c r="E14" s="68"/>
      <c r="F14" s="68"/>
      <c r="G14" s="68"/>
      <c r="H14" s="69"/>
    </row>
  </sheetData>
  <mergeCells count="1">
    <mergeCell ref="E13:H14"/>
  </mergeCells>
  <phoneticPr fontId="27" type="noConversion"/>
  <conditionalFormatting sqref="B13:D13">
    <cfRule type="expression" dxfId="2" priority="1">
      <formula>AND(DAY(B13)&gt;=1,DAY(B13)&lt;=15)</formula>
    </cfRule>
  </conditionalFormatting>
  <conditionalFormatting sqref="B3:G3">
    <cfRule type="expression" dxfId="1" priority="3">
      <formula>DAY(B3)&gt;8</formula>
    </cfRule>
  </conditionalFormatting>
  <conditionalFormatting sqref="B11:H11">
    <cfRule type="expression" dxfId="0" priority="4">
      <formula>AND(DAY(B11)&gt;=1,DAY(B11)&lt;=15)</formula>
    </cfRule>
  </conditionalFormatting>
  <dataValidations count="9">
    <dataValidation allowBlank="1" showInputMessage="1" showErrorMessage="1" prompt="자동으로 요일이 결정됩니다" sqref="C2:H2" xr:uid="{00000000-0002-0000-0B00-000000000000}"/>
    <dataValidation allowBlank="1" showErrorMessage="1" prompt="이 셀의 연도는 1월 워크시트에 입력한 연도에 따라 자동으로 업데이트됩니다. 아래 달력에는 이전 달과 다음 달의 날짜가 연한 글꼴 음영으로 표시됩니다" sqref="B1" xr:uid="{00000000-0002-0000-0B00-000001000000}"/>
    <dataValidation allowBlank="1" showInputMessage="1" showErrorMessage="1" prompt="이 행과 5, 7, 9, 11, 13행에는 달력 상의 요일이 포함됩니다. 이 셀에 숫자 1이 없으면 전월의 일입니다. E13 셀에 메모를 입력합니다" sqref="B3" xr:uid="{00000000-0002-0000-0B00-000002000000}"/>
    <dataValidation allowBlank="1" showInputMessage="1" showErrorMessage="1" prompt="이 행에는 이 달력의 요일 이름이 포함됩니다. 이 셀에는 주의 시작 요일이 포함됩니다. 시작 요일을 변경하려면 1월 워크시트의 K4 셀에 새 요일을 입력하세요" sqref="B2" xr:uid="{00000000-0002-0000-0B00-000003000000}"/>
    <dataValidation allowBlank="1" showInputMessage="1" showErrorMessage="1" prompt="12월 달력" sqref="A1" xr:uid="{00000000-0002-0000-0B00-000005000000}"/>
    <dataValidation allowBlank="1" showInputMessage="1" showErrorMessage="1" prompt="오른쪽 셀에 메모를 입력합니다." sqref="D13:D14" xr:uid="{00000000-0002-0000-0B00-000006000000}"/>
    <dataValidation allowBlank="1" showInputMessage="1" showErrorMessage="1" prompt="이 셀에 메모를 입력합니다." sqref="E13:H14" xr:uid="{00000000-0002-0000-0B00-000007000000}"/>
    <dataValidation allowBlank="1" showInputMessage="1" showErrorMessage="1" prompt="이 행과 6, 8, 10, 12, 14 행은 위의 셀에 있는 날짜와 관련된 일별 메모를 입력하는 셀입니다" sqref="B4" xr:uid="{00000000-0002-0000-0B00-000008000000}"/>
    <dataValidation allowBlank="1" showInputMessage="1" showErrorMessage="1" prompt="이 셀의 연도는 자동으로 업데이트됩니다. 연도를 변경하려면 1월 워크시트의 K3 셀에서 다른 연도를 선택하세요" sqref="C1" xr:uid="{0ED9C6F5-D117-4D38-BF48-93FAA0D1B91E}"/>
  </dataValidations>
  <printOptions horizontalCentered="1" verticalCentered="1"/>
  <pageMargins left="0.7" right="0.7" top="0.75" bottom="0.75" header="0.3" footer="0.3"/>
  <pageSetup paperSize="9" scale="88" orientation="landscape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A10363-92EC-4580-AE8C-D8F6C7EC38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90E721-6104-41D1-93BF-62E14EE01C6F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DF8A8BCD-244E-41CF-AC5A-813C9AEC7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TM11907363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27</vt:i4>
      </vt:variant>
    </vt:vector>
  </HeadingPairs>
  <TitlesOfParts>
    <vt:vector size="39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'1월'!Print_Area</vt:lpstr>
      <vt:lpstr>달력연도</vt:lpstr>
      <vt:lpstr>열제목영역1..H12.1</vt:lpstr>
      <vt:lpstr>열제목영역1..H12.10</vt:lpstr>
      <vt:lpstr>열제목영역1..H12.11</vt:lpstr>
      <vt:lpstr>열제목영역1..H12.12</vt:lpstr>
      <vt:lpstr>열제목영역1..H12.2</vt:lpstr>
      <vt:lpstr>열제목영역1..H12.3</vt:lpstr>
      <vt:lpstr>열제목영역1..H12.4</vt:lpstr>
      <vt:lpstr>열제목영역1..H12.5</vt:lpstr>
      <vt:lpstr>열제목영역1..H12.6</vt:lpstr>
      <vt:lpstr>열제목영역1..H12.7</vt:lpstr>
      <vt:lpstr>열제목영역1..H12.8</vt:lpstr>
      <vt:lpstr>열제목영역1..H12.9</vt:lpstr>
      <vt:lpstr>열제목영역2..C14.1</vt:lpstr>
      <vt:lpstr>열제목영역2..C14.10</vt:lpstr>
      <vt:lpstr>열제목영역2..C14.11</vt:lpstr>
      <vt:lpstr>열제목영역2..C14.12</vt:lpstr>
      <vt:lpstr>열제목영역2..C14.2</vt:lpstr>
      <vt:lpstr>열제목영역2..C14.3</vt:lpstr>
      <vt:lpstr>열제목영역2..C14.4</vt:lpstr>
      <vt:lpstr>열제목영역2..C14.5</vt:lpstr>
      <vt:lpstr>열제목영역2..C14.6</vt:lpstr>
      <vt:lpstr>열제목영역2..C14.7</vt:lpstr>
      <vt:lpstr>열제목영역2..C14.8</vt:lpstr>
      <vt:lpstr>열제목영역2..C14.9</vt:lpstr>
      <vt:lpstr>주시작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2020-07-08T21:12:30Z</dcterms:created>
  <dcterms:modified xsi:type="dcterms:W3CDTF">2025-02-11T00:15:58Z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