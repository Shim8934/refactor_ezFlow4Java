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rojects\kaoni\jmocha\ezFlow4Java\docs\tech\"/>
    </mc:Choice>
  </mc:AlternateContent>
  <bookViews>
    <workbookView xWindow="0" yWindow="0" windowWidth="28800" windowHeight="129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E29" i="1" s="1"/>
  <c r="D28" i="1"/>
  <c r="D25" i="1"/>
  <c r="D27" i="1" s="1"/>
  <c r="D30" i="1" l="1"/>
</calcChain>
</file>

<file path=xl/sharedStrings.xml><?xml version="1.0" encoding="utf-8"?>
<sst xmlns="http://schemas.openxmlformats.org/spreadsheetml/2006/main" count="102" uniqueCount="65">
  <si>
    <t>Software</t>
  </si>
  <si>
    <t>CPU Core</t>
  </si>
  <si>
    <t>Memory</t>
  </si>
  <si>
    <t>비 고</t>
    <phoneticPr fontId="6" type="noConversion"/>
  </si>
  <si>
    <t>메일 시스템 서버 표준사이징</t>
    <phoneticPr fontId="3" type="noConversion"/>
  </si>
  <si>
    <t>CentOS(Linux), Java, Tomcat, MariaDB 기반</t>
    <phoneticPr fontId="3" type="noConversion"/>
  </si>
  <si>
    <t>1(단중화)
2(이중화)</t>
    <phoneticPr fontId="2" type="noConversion"/>
  </si>
  <si>
    <t>2(단중화)
3(이중화)</t>
    <phoneticPr fontId="2" type="noConversion"/>
  </si>
  <si>
    <r>
      <rPr>
        <sz val="9"/>
        <color theme="1"/>
        <rFont val="Calibri"/>
        <family val="3"/>
        <charset val="129"/>
        <scheme val="minor"/>
      </rPr>
      <t>사용자 한 명이 하루 10시간 동안 메시지(평균 크기 170KB) 50통을 수신하고 10통의 메시지를 송신하는 트래픽 기준
  : 사용자 3000명의 경우, 매초마다 약 메일 수신 5통, 메일 송신 1통, 메일 읽기 5통의 트래픽 발생</t>
    </r>
    <r>
      <rPr>
        <b/>
        <sz val="11"/>
        <color theme="1"/>
        <rFont val="Calibri"/>
        <family val="3"/>
        <charset val="129"/>
        <scheme val="minor"/>
      </rPr>
      <t xml:space="preserve">
</t>
    </r>
    <phoneticPr fontId="2" type="noConversion"/>
  </si>
  <si>
    <t>1,000명</t>
    <phoneticPr fontId="3" type="noConversion"/>
  </si>
  <si>
    <t>3,000명</t>
    <phoneticPr fontId="3" type="noConversion"/>
  </si>
  <si>
    <t>5,000명</t>
    <phoneticPr fontId="3" type="noConversion"/>
  </si>
  <si>
    <t>서버대수</t>
    <phoneticPr fontId="2" type="noConversion"/>
  </si>
  <si>
    <t>서버대수</t>
    <phoneticPr fontId="2" type="noConversion"/>
  </si>
  <si>
    <t>서버대수</t>
    <phoneticPr fontId="2" type="noConversion"/>
  </si>
  <si>
    <t>1 x 1core</t>
    <phoneticPr fontId="2" type="noConversion"/>
  </si>
  <si>
    <t>4GB</t>
    <phoneticPr fontId="2" type="noConversion"/>
  </si>
  <si>
    <t xml:space="preserve"> - 100GB</t>
    <phoneticPr fontId="2" type="noConversion"/>
  </si>
  <si>
    <t>비 고</t>
    <phoneticPr fontId="6" type="noConversion"/>
  </si>
  <si>
    <t>• HDD는 SAS 10,000rpm 이상 필요</t>
    <phoneticPr fontId="2" type="noConversion"/>
  </si>
  <si>
    <t xml:space="preserve">• HDD는 SAS 10,000rpm 이상 필요
</t>
    <phoneticPr fontId="2" type="noConversion"/>
  </si>
  <si>
    <t>• HDD는 SAS 10,000rpm 이상 필요</t>
    <phoneticPr fontId="2" type="noConversion"/>
  </si>
  <si>
    <t>• HDD는 SAS 10,000rpm 이상 필요</t>
    <phoneticPr fontId="2" type="noConversion"/>
  </si>
  <si>
    <t>1 x 6core
2.4GHz</t>
    <phoneticPr fontId="2" type="noConversion"/>
  </si>
  <si>
    <t>24GB</t>
    <phoneticPr fontId="2" type="noConversion"/>
  </si>
  <si>
    <t>10,000명</t>
    <phoneticPr fontId="3" type="noConversion"/>
  </si>
  <si>
    <t>서버당 Storage</t>
    <phoneticPr fontId="2" type="noConversion"/>
  </si>
  <si>
    <t>2(단중화)
3(이중화)</t>
    <phoneticPr fontId="2" type="noConversion"/>
  </si>
  <si>
    <t>구분</t>
    <phoneticPr fontId="2" type="noConversion"/>
  </si>
  <si>
    <t>항목</t>
    <phoneticPr fontId="2" type="noConversion"/>
  </si>
  <si>
    <t>보정수치</t>
    <phoneticPr fontId="2" type="noConversion"/>
  </si>
  <si>
    <t>산정값</t>
    <phoneticPr fontId="2" type="noConversion"/>
  </si>
  <si>
    <t>내역</t>
    <phoneticPr fontId="2" type="noConversion"/>
  </si>
  <si>
    <t>전체사용자</t>
  </si>
  <si>
    <t>전체사용자수</t>
    <phoneticPr fontId="2" type="noConversion"/>
  </si>
  <si>
    <t xml:space="preserve">1인당 메일 할당량 </t>
    <phoneticPr fontId="2" type="noConversion"/>
  </si>
  <si>
    <t>1인당 메일 평균 제공용량</t>
    <phoneticPr fontId="2" type="noConversion"/>
  </si>
  <si>
    <t>대용량 첨부파일 (1인당 사용량)</t>
  </si>
  <si>
    <t>대용량 첨부파일 14일간 보존 기준</t>
  </si>
  <si>
    <t>메일 용량 / Mbytes</t>
  </si>
  <si>
    <t>로컬 시스템 용량 
(Tbytes)</t>
  </si>
  <si>
    <t>메일 용량 (Tbytes)</t>
  </si>
  <si>
    <t>메일 용량</t>
  </si>
  <si>
    <t>DB 용량 (Tbytes)</t>
  </si>
  <si>
    <t>DB 용량</t>
  </si>
  <si>
    <t>Storage 여유율</t>
    <phoneticPr fontId="2" type="noConversion"/>
  </si>
  <si>
    <t>Disk 사용률 90%이하 유지 권장</t>
  </si>
  <si>
    <t>총 Storage 사용량</t>
    <phoneticPr fontId="2" type="noConversion"/>
  </si>
  <si>
    <t>이중화시 서버마다 다른 Data가 저장되는 용량</t>
  </si>
  <si>
    <t>로컬 리스템 용량</t>
  </si>
  <si>
    <t>이중화시 서버간 동일 Data가 저장되는 File Data 용량
(GlusterFS의 경우엔 복제 방식이므로 서버당 용량이 필요하며 NAS 혹은 네트워크 파일 시스템을 사용할 경우엔 단일 용량만 필요)</t>
  </si>
  <si>
    <t>이중화시 서버간 동일 Data가 저장되는 DB Data 용량 
(MariaDB의 경우엔 복제 방식이므로 서버당 용량이 필요하며  Oracle의 경우엔 Shared Disk 방식이므로 단일 용량만 필요)</t>
  </si>
  <si>
    <t>아래 계산표 참조</t>
  </si>
  <si>
    <t>• garbd는 MariaDB Cluster의 노드수를 3개로 만들기 위해 사용하는 가상노드임</t>
  </si>
  <si>
    <t>Tomcat, GlusterFS(이중화 시)
JMocha Mail Server, MariaDB</t>
  </si>
  <si>
    <r>
      <rPr>
        <sz val="8"/>
        <rFont val="Calibri"/>
        <family val="3"/>
        <charset val="129"/>
        <scheme val="minor"/>
      </rPr>
      <t xml:space="preserve">garbd(이중화 </t>
    </r>
    <r>
      <rPr>
        <sz val="8"/>
        <color theme="1"/>
        <rFont val="Calibri"/>
        <family val="2"/>
        <scheme val="minor"/>
      </rPr>
      <t>시)</t>
    </r>
  </si>
  <si>
    <r>
      <t>2</t>
    </r>
    <r>
      <rPr>
        <sz val="8"/>
        <color theme="1"/>
        <rFont val="Calibri"/>
        <family val="3"/>
        <charset val="129"/>
        <scheme val="minor"/>
      </rPr>
      <t xml:space="preserve">(단중화)
</t>
    </r>
    <r>
      <rPr>
        <sz val="8"/>
        <color theme="1"/>
        <rFont val="Calibri"/>
        <family val="2"/>
        <scheme val="minor"/>
      </rPr>
      <t>3</t>
    </r>
    <r>
      <rPr>
        <sz val="8"/>
        <color theme="1"/>
        <rFont val="Calibri"/>
        <family val="3"/>
        <charset val="129"/>
        <scheme val="minor"/>
      </rPr>
      <t>(이중화)</t>
    </r>
  </si>
  <si>
    <t>MariaDB</t>
  </si>
  <si>
    <t>24GB</t>
  </si>
  <si>
    <t>메일 큐(1인당 100MB)및 LOG 사용량(1인당 200MB) (이중화시 서버간 공유되지 않음)</t>
  </si>
  <si>
    <r>
      <t>Tomcat,</t>
    </r>
    <r>
      <rPr>
        <sz val="8"/>
        <rFont val="Calibri"/>
        <family val="3"/>
        <charset val="129"/>
        <scheme val="minor"/>
      </rPr>
      <t xml:space="preserve">
JMocha Mail Server</t>
    </r>
  </si>
  <si>
    <t>Tomcat,
JMocha Mail Server</t>
  </si>
  <si>
    <t>1 x 6core
2.4GHz</t>
  </si>
  <si>
    <t>48GB</t>
  </si>
  <si>
    <t>1 x 12core
2.4GHz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</si>
</sst>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64" formatCode="#,##0\ &quot;MB&quot;"/>
    <numFmt numFmtId="165" formatCode="#,##0.0000\ &quot;TB&quot;"/>
    <numFmt numFmtId="166" formatCode="#,##0.00\ &quot;TB&quot;"/>
    <numFmt numFmtId="167" formatCode="#,##0.00\ &quot;%&quot;"/>
  </numFmts>
  <fonts count="16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b/>
      <sz val="8"/>
      <color theme="1"/>
      <name val="Calibri"/>
      <family val="3"/>
      <charset val="129"/>
      <scheme val="minor"/>
    </font>
    <font>
      <sz val="8"/>
      <name val="맑은 고딕"/>
      <family val="3"/>
      <charset val="129"/>
    </font>
    <font>
      <sz val="8"/>
      <color theme="1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sz val="8"/>
      <color rgb="FFFF0000"/>
      <name val="Calibri"/>
      <family val="3"/>
      <charset val="129"/>
      <scheme val="minor"/>
    </font>
    <font>
      <b/>
      <sz val="8"/>
      <name val="Calibri"/>
      <family val="3"/>
      <charset val="129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0"/>
      <color rgb="FF000000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  <font>
      <b/>
      <sz val="10"/>
      <color rgb="FFFF0000"/>
      <name val="Calibri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2" fillId="0" borderId="0" applyFont="0" applyFill="0" applyBorder="0" applyAlignment="0" applyProtection="0"/>
  </cellStyleXfs>
  <cellXfs count="58">
    <xf numFmtId="0" fontId="0" fillId="0" borderId="0" xfId="0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left" vertical="center" wrapText="1"/>
    </xf>
    <xf numFmtId="41" fontId="7" fillId="0" borderId="4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vertical="center" wrapText="1"/>
    </xf>
    <xf numFmtId="41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3" fontId="13" fillId="5" borderId="11" xfId="0" applyNumberFormat="1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3" fontId="14" fillId="5" borderId="11" xfId="0" applyNumberFormat="1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3" fontId="14" fillId="5" borderId="13" xfId="0" applyNumberFormat="1" applyFont="1" applyFill="1" applyBorder="1" applyAlignment="1">
      <alignment horizontal="center" vertical="center" wrapText="1"/>
    </xf>
    <xf numFmtId="167" fontId="13" fillId="5" borderId="11" xfId="0" applyNumberFormat="1" applyFont="1" applyFill="1" applyBorder="1" applyAlignment="1">
      <alignment horizontal="center" vertical="center" wrapText="1"/>
    </xf>
    <xf numFmtId="166" fontId="13" fillId="5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164" fontId="15" fillId="6" borderId="12" xfId="0" applyNumberFormat="1" applyFont="1" applyFill="1" applyBorder="1" applyAlignment="1">
      <alignment horizontal="center" vertical="center" wrapText="1"/>
    </xf>
    <xf numFmtId="164" fontId="15" fillId="6" borderId="13" xfId="0" applyNumberFormat="1" applyFont="1" applyFill="1" applyBorder="1" applyAlignment="1">
      <alignment horizontal="center" vertical="center" wrapText="1"/>
    </xf>
    <xf numFmtId="41" fontId="14" fillId="6" borderId="12" xfId="1" applyFont="1" applyFill="1" applyBorder="1" applyAlignment="1">
      <alignment vertical="center" wrapText="1"/>
    </xf>
    <xf numFmtId="41" fontId="14" fillId="6" borderId="13" xfId="1" applyFont="1" applyFill="1" applyBorder="1" applyAlignment="1">
      <alignment vertical="center" wrapText="1"/>
    </xf>
    <xf numFmtId="165" fontId="13" fillId="5" borderId="12" xfId="0" applyNumberFormat="1" applyFont="1" applyFill="1" applyBorder="1" applyAlignment="1">
      <alignment horizontal="center" vertical="center" wrapText="1"/>
    </xf>
    <xf numFmtId="165" fontId="13" fillId="5" borderId="13" xfId="0" applyNumberFormat="1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166" fontId="15" fillId="7" borderId="12" xfId="0" applyNumberFormat="1" applyFont="1" applyFill="1" applyBorder="1" applyAlignment="1">
      <alignment horizontal="center" vertical="center" wrapText="1"/>
    </xf>
    <xf numFmtId="166" fontId="15" fillId="7" borderId="13" xfId="0" applyNumberFormat="1" applyFont="1" applyFill="1" applyBorder="1" applyAlignment="1">
      <alignment horizontal="center" vertical="center" wrapText="1"/>
    </xf>
    <xf numFmtId="41" fontId="14" fillId="7" borderId="12" xfId="1" applyFont="1" applyFill="1" applyBorder="1" applyAlignment="1">
      <alignment vertical="center" wrapText="1"/>
    </xf>
    <xf numFmtId="41" fontId="14" fillId="7" borderId="13" xfId="1" applyFont="1" applyFill="1" applyBorder="1" applyAlignment="1">
      <alignment vertical="center" wrapText="1"/>
    </xf>
    <xf numFmtId="166" fontId="13" fillId="5" borderId="12" xfId="0" applyNumberFormat="1" applyFont="1" applyFill="1" applyBorder="1" applyAlignment="1">
      <alignment horizontal="center" vertical="center" wrapText="1"/>
    </xf>
    <xf numFmtId="166" fontId="13" fillId="5" borderId="13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13" zoomScale="130" zoomScaleNormal="130" workbookViewId="0">
      <selection activeCell="E18" sqref="E18"/>
    </sheetView>
  </sheetViews>
  <sheetFormatPr defaultRowHeight="15"/>
  <cols>
    <col min="1" max="1" width="11" customWidth="1"/>
    <col min="2" max="2" width="35.5703125" customWidth="1"/>
    <col min="3" max="3" width="12.42578125" customWidth="1"/>
    <col min="4" max="4" width="8.85546875" customWidth="1"/>
    <col min="5" max="5" width="8" customWidth="1"/>
    <col min="6" max="6" width="54.28515625" customWidth="1"/>
    <col min="7" max="7" width="24.140625" customWidth="1"/>
  </cols>
  <sheetData>
    <row r="1" spans="1:7">
      <c r="A1" s="34" t="s">
        <v>4</v>
      </c>
      <c r="B1" s="34"/>
      <c r="C1" s="34"/>
      <c r="D1" s="34"/>
      <c r="E1" s="34"/>
      <c r="F1" s="34"/>
      <c r="G1" s="34"/>
    </row>
    <row r="2" spans="1:7">
      <c r="A2" s="34"/>
      <c r="B2" s="34"/>
      <c r="C2" s="34"/>
      <c r="D2" s="34"/>
      <c r="E2" s="34"/>
      <c r="F2" s="34"/>
      <c r="G2" s="34"/>
    </row>
    <row r="3" spans="1:7" ht="30.75" customHeight="1">
      <c r="A3" s="32" t="s">
        <v>8</v>
      </c>
      <c r="B3" s="33"/>
      <c r="C3" s="33"/>
      <c r="D3" s="33"/>
      <c r="E3" s="33"/>
      <c r="F3" s="33"/>
      <c r="G3" s="5"/>
    </row>
    <row r="4" spans="1:7" ht="15.75" thickBot="1">
      <c r="A4" s="35" t="s">
        <v>5</v>
      </c>
      <c r="B4" s="35"/>
      <c r="C4" s="35"/>
      <c r="D4" s="35"/>
      <c r="E4" s="35"/>
      <c r="F4" s="35"/>
      <c r="G4" s="35"/>
    </row>
    <row r="5" spans="1:7" ht="15.75" thickBot="1">
      <c r="A5" s="36" t="s">
        <v>9</v>
      </c>
      <c r="B5" s="1" t="s">
        <v>0</v>
      </c>
      <c r="C5" s="1" t="s">
        <v>12</v>
      </c>
      <c r="D5" s="1" t="s">
        <v>1</v>
      </c>
      <c r="E5" s="1" t="s">
        <v>2</v>
      </c>
      <c r="F5" s="1" t="s">
        <v>26</v>
      </c>
      <c r="G5" s="2" t="s">
        <v>3</v>
      </c>
    </row>
    <row r="6" spans="1:7" ht="74.25" customHeight="1" thickBot="1">
      <c r="A6" s="37"/>
      <c r="B6" s="8" t="s">
        <v>54</v>
      </c>
      <c r="C6" s="6" t="s">
        <v>6</v>
      </c>
      <c r="D6" s="10" t="s">
        <v>23</v>
      </c>
      <c r="E6" s="4" t="s">
        <v>24</v>
      </c>
      <c r="F6" s="7" t="s">
        <v>52</v>
      </c>
      <c r="G6" s="9" t="s">
        <v>19</v>
      </c>
    </row>
    <row r="7" spans="1:7" ht="46.5" customHeight="1">
      <c r="A7" s="38"/>
      <c r="B7" s="11" t="s">
        <v>55</v>
      </c>
      <c r="C7" s="6">
        <v>1</v>
      </c>
      <c r="D7" s="10" t="s">
        <v>15</v>
      </c>
      <c r="E7" s="4" t="s">
        <v>16</v>
      </c>
      <c r="F7" s="7" t="s">
        <v>17</v>
      </c>
      <c r="G7" s="9" t="s">
        <v>53</v>
      </c>
    </row>
    <row r="8" spans="1:7" ht="15.75" thickBot="1"/>
    <row r="9" spans="1:7" ht="15.75" thickBot="1">
      <c r="A9" s="36" t="s">
        <v>10</v>
      </c>
      <c r="B9" s="1" t="s">
        <v>0</v>
      </c>
      <c r="C9" s="1" t="s">
        <v>13</v>
      </c>
      <c r="D9" s="1" t="s">
        <v>1</v>
      </c>
      <c r="E9" s="1" t="s">
        <v>2</v>
      </c>
      <c r="F9" s="1" t="s">
        <v>26</v>
      </c>
      <c r="G9" s="2" t="s">
        <v>3</v>
      </c>
    </row>
    <row r="10" spans="1:7" ht="57" customHeight="1" thickBot="1">
      <c r="A10" s="37"/>
      <c r="B10" s="8" t="s">
        <v>60</v>
      </c>
      <c r="C10" s="6" t="s">
        <v>6</v>
      </c>
      <c r="D10" s="10" t="s">
        <v>62</v>
      </c>
      <c r="E10" s="4" t="s">
        <v>58</v>
      </c>
      <c r="F10" s="7" t="s">
        <v>52</v>
      </c>
      <c r="G10" s="39" t="s">
        <v>20</v>
      </c>
    </row>
    <row r="11" spans="1:7" ht="56.25" customHeight="1">
      <c r="A11" s="38"/>
      <c r="B11" s="3" t="s">
        <v>57</v>
      </c>
      <c r="C11" s="6" t="s">
        <v>6</v>
      </c>
      <c r="D11" s="10" t="s">
        <v>62</v>
      </c>
      <c r="E11" s="4" t="s">
        <v>58</v>
      </c>
      <c r="F11" s="7" t="s">
        <v>52</v>
      </c>
      <c r="G11" s="40"/>
    </row>
    <row r="12" spans="1:7" ht="15.75" thickBot="1"/>
    <row r="13" spans="1:7" ht="15.75" thickBot="1">
      <c r="A13" s="36" t="s">
        <v>11</v>
      </c>
      <c r="B13" s="1" t="s">
        <v>0</v>
      </c>
      <c r="C13" s="1" t="s">
        <v>14</v>
      </c>
      <c r="D13" s="1" t="s">
        <v>1</v>
      </c>
      <c r="E13" s="1" t="s">
        <v>2</v>
      </c>
      <c r="F13" s="1" t="s">
        <v>26</v>
      </c>
      <c r="G13" s="2" t="s">
        <v>3</v>
      </c>
    </row>
    <row r="14" spans="1:7" ht="57" customHeight="1" thickBot="1">
      <c r="A14" s="37"/>
      <c r="B14" s="8" t="s">
        <v>61</v>
      </c>
      <c r="C14" s="14" t="s">
        <v>56</v>
      </c>
      <c r="D14" s="10" t="s">
        <v>62</v>
      </c>
      <c r="E14" s="4" t="s">
        <v>58</v>
      </c>
      <c r="F14" s="7" t="s">
        <v>52</v>
      </c>
      <c r="G14" s="39" t="s">
        <v>21</v>
      </c>
    </row>
    <row r="15" spans="1:7" ht="56.25" customHeight="1">
      <c r="A15" s="38"/>
      <c r="B15" s="3" t="s">
        <v>57</v>
      </c>
      <c r="C15" s="6" t="s">
        <v>7</v>
      </c>
      <c r="D15" s="10" t="s">
        <v>62</v>
      </c>
      <c r="E15" s="4" t="s">
        <v>58</v>
      </c>
      <c r="F15" s="7" t="s">
        <v>52</v>
      </c>
      <c r="G15" s="40"/>
    </row>
    <row r="16" spans="1:7" ht="15.75" thickBot="1"/>
    <row r="17" spans="1:7" ht="15.75" thickBot="1">
      <c r="A17" s="41" t="s">
        <v>25</v>
      </c>
      <c r="B17" s="1" t="s">
        <v>0</v>
      </c>
      <c r="C17" s="1" t="s">
        <v>12</v>
      </c>
      <c r="D17" s="1" t="s">
        <v>1</v>
      </c>
      <c r="E17" s="1" t="s">
        <v>2</v>
      </c>
      <c r="F17" s="1" t="s">
        <v>26</v>
      </c>
      <c r="G17" s="2" t="s">
        <v>18</v>
      </c>
    </row>
    <row r="18" spans="1:7" ht="57" customHeight="1" thickBot="1">
      <c r="A18" s="37"/>
      <c r="B18" s="8" t="s">
        <v>61</v>
      </c>
      <c r="C18" s="6" t="s">
        <v>27</v>
      </c>
      <c r="D18" s="12" t="s">
        <v>64</v>
      </c>
      <c r="E18" s="13" t="s">
        <v>63</v>
      </c>
      <c r="F18" s="7" t="s">
        <v>52</v>
      </c>
      <c r="G18" s="39" t="s">
        <v>22</v>
      </c>
    </row>
    <row r="19" spans="1:7" ht="56.25" customHeight="1">
      <c r="A19" s="38"/>
      <c r="B19" s="3" t="s">
        <v>57</v>
      </c>
      <c r="C19" s="6" t="s">
        <v>7</v>
      </c>
      <c r="D19" s="12" t="s">
        <v>64</v>
      </c>
      <c r="E19" s="13" t="s">
        <v>63</v>
      </c>
      <c r="F19" s="7" t="s">
        <v>52</v>
      </c>
      <c r="G19" s="40"/>
    </row>
    <row r="21" spans="1:7">
      <c r="B21" s="15" t="s">
        <v>28</v>
      </c>
      <c r="C21" s="15" t="s">
        <v>29</v>
      </c>
      <c r="D21" s="15" t="s">
        <v>30</v>
      </c>
      <c r="E21" s="15" t="s">
        <v>31</v>
      </c>
      <c r="F21" s="28" t="s">
        <v>32</v>
      </c>
      <c r="G21" s="29"/>
    </row>
    <row r="22" spans="1:7">
      <c r="B22" s="16">
        <v>1</v>
      </c>
      <c r="C22" s="16" t="s">
        <v>33</v>
      </c>
      <c r="D22" s="17">
        <v>1000</v>
      </c>
      <c r="E22" s="17"/>
      <c r="F22" s="30" t="s">
        <v>34</v>
      </c>
      <c r="G22" s="31"/>
    </row>
    <row r="23" spans="1:7" ht="25.5">
      <c r="B23" s="16">
        <v>2</v>
      </c>
      <c r="C23" s="16" t="s">
        <v>35</v>
      </c>
      <c r="D23" s="18">
        <v>1000</v>
      </c>
      <c r="E23" s="19"/>
      <c r="F23" s="30" t="s">
        <v>36</v>
      </c>
      <c r="G23" s="31"/>
    </row>
    <row r="24" spans="1:7" ht="51">
      <c r="B24" s="16">
        <v>3</v>
      </c>
      <c r="C24" s="20" t="s">
        <v>37</v>
      </c>
      <c r="D24" s="18">
        <v>100</v>
      </c>
      <c r="E24" s="23"/>
      <c r="F24" s="21" t="s">
        <v>38</v>
      </c>
      <c r="G24" s="22"/>
    </row>
    <row r="25" spans="1:7">
      <c r="B25" s="42" t="s">
        <v>39</v>
      </c>
      <c r="C25" s="43"/>
      <c r="D25" s="44">
        <f>D22*D23 + D22*D24</f>
        <v>1100000</v>
      </c>
      <c r="E25" s="45"/>
      <c r="F25" s="46"/>
      <c r="G25" s="47"/>
    </row>
    <row r="26" spans="1:7" ht="38.25">
      <c r="B26" s="16">
        <v>1</v>
      </c>
      <c r="C26" s="16" t="s">
        <v>40</v>
      </c>
      <c r="D26" s="48">
        <f>0.0001*D22 + 0.0002*D22</f>
        <v>0.30000000000000004</v>
      </c>
      <c r="E26" s="49"/>
      <c r="F26" s="30" t="s">
        <v>59</v>
      </c>
      <c r="G26" s="31"/>
    </row>
    <row r="27" spans="1:7" ht="25.5">
      <c r="B27" s="16">
        <v>3</v>
      </c>
      <c r="C27" s="16" t="s">
        <v>41</v>
      </c>
      <c r="D27" s="56">
        <f>D25/1000000</f>
        <v>1.1000000000000001</v>
      </c>
      <c r="E27" s="57"/>
      <c r="F27" s="30" t="s">
        <v>42</v>
      </c>
      <c r="G27" s="31"/>
    </row>
    <row r="28" spans="1:7" ht="25.5">
      <c r="B28" s="16">
        <v>4</v>
      </c>
      <c r="C28" s="16" t="s">
        <v>43</v>
      </c>
      <c r="D28" s="56">
        <f>(D22*D23*0.2)/1000000</f>
        <v>0.2</v>
      </c>
      <c r="E28" s="57"/>
      <c r="F28" s="30" t="s">
        <v>44</v>
      </c>
      <c r="G28" s="31"/>
    </row>
    <row r="29" spans="1:7" ht="25.5">
      <c r="B29" s="16">
        <v>5</v>
      </c>
      <c r="C29" s="16" t="s">
        <v>45</v>
      </c>
      <c r="D29" s="24">
        <v>10</v>
      </c>
      <c r="E29" s="25">
        <f>SUM(D26:E28)/(1 - D29/100)</f>
        <v>1.7777777777777779</v>
      </c>
      <c r="F29" s="30" t="s">
        <v>46</v>
      </c>
      <c r="G29" s="31"/>
    </row>
    <row r="30" spans="1:7">
      <c r="B30" s="50" t="s">
        <v>47</v>
      </c>
      <c r="C30" s="51"/>
      <c r="D30" s="52">
        <f>E29</f>
        <v>1.7777777777777779</v>
      </c>
      <c r="E30" s="53"/>
      <c r="F30" s="54"/>
      <c r="G30" s="55"/>
    </row>
    <row r="32" spans="1:7" ht="30">
      <c r="B32" s="26" t="s">
        <v>48</v>
      </c>
      <c r="C32" s="27" t="s">
        <v>49</v>
      </c>
    </row>
    <row r="33" spans="2:3" ht="90">
      <c r="B33" s="26" t="s">
        <v>50</v>
      </c>
      <c r="C33" s="27" t="s">
        <v>42</v>
      </c>
    </row>
    <row r="34" spans="2:3" ht="90">
      <c r="B34" s="26" t="s">
        <v>51</v>
      </c>
      <c r="C34" s="27" t="s">
        <v>44</v>
      </c>
    </row>
  </sheetData>
  <mergeCells count="26">
    <mergeCell ref="F29:G29"/>
    <mergeCell ref="B30:C30"/>
    <mergeCell ref="D30:E30"/>
    <mergeCell ref="F30:G30"/>
    <mergeCell ref="D27:E27"/>
    <mergeCell ref="F27:G27"/>
    <mergeCell ref="D28:E28"/>
    <mergeCell ref="F28:G28"/>
    <mergeCell ref="F23:G23"/>
    <mergeCell ref="B25:C25"/>
    <mergeCell ref="D25:E25"/>
    <mergeCell ref="F25:G25"/>
    <mergeCell ref="D26:E26"/>
    <mergeCell ref="F26:G26"/>
    <mergeCell ref="F21:G21"/>
    <mergeCell ref="F22:G22"/>
    <mergeCell ref="A3:F3"/>
    <mergeCell ref="A1:G2"/>
    <mergeCell ref="A4:G4"/>
    <mergeCell ref="A9:A11"/>
    <mergeCell ref="G10:G11"/>
    <mergeCell ref="A17:A19"/>
    <mergeCell ref="G18:G19"/>
    <mergeCell ref="A13:A15"/>
    <mergeCell ref="G14:G15"/>
    <mergeCell ref="A5:A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2016-11-11T06:33:51Z</dcterms:created>
  <dcterms:modified xsi:type="dcterms:W3CDTF">2020-10-20T13:31:00Z</dcterms:modified>
</cp:coreProperties>
</file>